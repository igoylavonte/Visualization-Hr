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yugo Ramadani\Downloads\"/>
    </mc:Choice>
  </mc:AlternateContent>
  <xr:revisionPtr revIDLastSave="0" documentId="8_{7F472A50-0C31-4E93-8CDD-36A2EFDAD744}" xr6:coauthVersionLast="47" xr6:coauthVersionMax="47" xr10:uidLastSave="{00000000-0000-0000-0000-000000000000}"/>
  <bookViews>
    <workbookView xWindow="-120" yWindow="-120" windowWidth="20730" windowHeight="11160" xr2:uid="{B67604C1-8ACC-4E6E-90B0-6981A623EAAC}"/>
  </bookViews>
  <sheets>
    <sheet name="Hr Dashboard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2" i="1"/>
</calcChain>
</file>

<file path=xl/sharedStrings.xml><?xml version="1.0" encoding="utf-8"?>
<sst xmlns="http://schemas.openxmlformats.org/spreadsheetml/2006/main" count="718" uniqueCount="209">
  <si>
    <t>Employee</t>
  </si>
  <si>
    <t>Name</t>
  </si>
  <si>
    <t>Department</t>
  </si>
  <si>
    <t>Position</t>
  </si>
  <si>
    <t>Gender</t>
  </si>
  <si>
    <t xml:space="preserve">Age </t>
  </si>
  <si>
    <t>Salary</t>
  </si>
  <si>
    <t>HireDate</t>
  </si>
  <si>
    <t>Status</t>
  </si>
  <si>
    <t>EmployeeID</t>
  </si>
  <si>
    <t>Age</t>
  </si>
  <si>
    <t>Sari O</t>
  </si>
  <si>
    <t>Operations</t>
  </si>
  <si>
    <t>Staff</t>
  </si>
  <si>
    <t>Female</t>
  </si>
  <si>
    <t>2021-06-21</t>
  </si>
  <si>
    <t>Resigned</t>
  </si>
  <si>
    <t>Gina O</t>
  </si>
  <si>
    <t>Senior Staff</t>
  </si>
  <si>
    <t>2024-04-05</t>
  </si>
  <si>
    <t>Active</t>
  </si>
  <si>
    <t>Oka J</t>
  </si>
  <si>
    <t>2021-09-29</t>
  </si>
  <si>
    <t>Lina A</t>
  </si>
  <si>
    <t>IT</t>
  </si>
  <si>
    <t>Supervisor</t>
  </si>
  <si>
    <t>2021-01-22</t>
  </si>
  <si>
    <t>Lina Z</t>
  </si>
  <si>
    <t>HR</t>
  </si>
  <si>
    <t>Manager</t>
  </si>
  <si>
    <t>2025-05-15</t>
  </si>
  <si>
    <t>Eka Q</t>
  </si>
  <si>
    <t>Finance</t>
  </si>
  <si>
    <t>2022-04-07</t>
  </si>
  <si>
    <t>Fajar C</t>
  </si>
  <si>
    <t>2025-03-30</t>
  </si>
  <si>
    <t>Joko T</t>
  </si>
  <si>
    <t>2025-08-31</t>
  </si>
  <si>
    <t>Nina K</t>
  </si>
  <si>
    <t>2023-11-25</t>
  </si>
  <si>
    <t>Citra Q</t>
  </si>
  <si>
    <t>2024-07-17</t>
  </si>
  <si>
    <t>Hadi C</t>
  </si>
  <si>
    <t>2025-05-12</t>
  </si>
  <si>
    <t>Tono T</t>
  </si>
  <si>
    <t>Male</t>
  </si>
  <si>
    <t>2024-06-25</t>
  </si>
  <si>
    <t>Oka M</t>
  </si>
  <si>
    <t>2020-12-15</t>
  </si>
  <si>
    <t>Oka N</t>
  </si>
  <si>
    <t>Marketing</t>
  </si>
  <si>
    <t>2020-11-10</t>
  </si>
  <si>
    <t>Fajar K</t>
  </si>
  <si>
    <t>2024-03-31</t>
  </si>
  <si>
    <t>Dewi N</t>
  </si>
  <si>
    <t>2025-04-19</t>
  </si>
  <si>
    <t>Citra R</t>
  </si>
  <si>
    <t>2023-01-07</t>
  </si>
  <si>
    <t>Gina M</t>
  </si>
  <si>
    <t>2025-04-30</t>
  </si>
  <si>
    <t>Citra Z</t>
  </si>
  <si>
    <t>2022-06-09</t>
  </si>
  <si>
    <t>Citra T</t>
  </si>
  <si>
    <t>2026-02-15</t>
  </si>
  <si>
    <t>Kiki S</t>
  </si>
  <si>
    <t>2022-03-02</t>
  </si>
  <si>
    <t>Budi A</t>
  </si>
  <si>
    <t>2022-02-21</t>
  </si>
  <si>
    <t>Dewi T</t>
  </si>
  <si>
    <t>2022-08-31</t>
  </si>
  <si>
    <t>Putri E</t>
  </si>
  <si>
    <t>2025-10-24</t>
  </si>
  <si>
    <t>Eka H</t>
  </si>
  <si>
    <t>2021-05-30</t>
  </si>
  <si>
    <t>Hadi F</t>
  </si>
  <si>
    <t>2025-12-01</t>
  </si>
  <si>
    <t>Budi K</t>
  </si>
  <si>
    <t>2024-09-23</t>
  </si>
  <si>
    <t>Sari M</t>
  </si>
  <si>
    <t>2022-01-08</t>
  </si>
  <si>
    <t>Intan F</t>
  </si>
  <si>
    <t>2023-03-01</t>
  </si>
  <si>
    <t>Joko R</t>
  </si>
  <si>
    <t>2021-07-20</t>
  </si>
  <si>
    <t>Kiki Q</t>
  </si>
  <si>
    <t>2023-11-23</t>
  </si>
  <si>
    <t>Vina C</t>
  </si>
  <si>
    <t>2024-03-09</t>
  </si>
  <si>
    <t>Andi G</t>
  </si>
  <si>
    <t>2024-02-21</t>
  </si>
  <si>
    <t>Hadi A</t>
  </si>
  <si>
    <t>2021-05-26</t>
  </si>
  <si>
    <t>Maya O</t>
  </si>
  <si>
    <t>2021-02-01</t>
  </si>
  <si>
    <t>Joko C</t>
  </si>
  <si>
    <t>2024-01-18</t>
  </si>
  <si>
    <t>Eka U</t>
  </si>
  <si>
    <t>2021-03-14</t>
  </si>
  <si>
    <t>Andi S</t>
  </si>
  <si>
    <t>2025-06-30</t>
  </si>
  <si>
    <t>Nina T</t>
  </si>
  <si>
    <t>2022-10-30</t>
  </si>
  <si>
    <t>Citra A</t>
  </si>
  <si>
    <t>2024-05-24</t>
  </si>
  <si>
    <t>Nina Z</t>
  </si>
  <si>
    <t>2023-04-23</t>
  </si>
  <si>
    <t>Maya J</t>
  </si>
  <si>
    <t>2021-09-18</t>
  </si>
  <si>
    <t>Nina E</t>
  </si>
  <si>
    <t>2021-05-07</t>
  </si>
  <si>
    <t>Citra E</t>
  </si>
  <si>
    <t>2021-06-11</t>
  </si>
  <si>
    <t>Budi Z</t>
  </si>
  <si>
    <t>2022-12-09</t>
  </si>
  <si>
    <t>Oka L</t>
  </si>
  <si>
    <t>2024-06-06</t>
  </si>
  <si>
    <t>Dewi H</t>
  </si>
  <si>
    <t>2022-07-31</t>
  </si>
  <si>
    <t>Sari I</t>
  </si>
  <si>
    <t>2025-06-04</t>
  </si>
  <si>
    <t>Lina Q</t>
  </si>
  <si>
    <t>2024-03-22</t>
  </si>
  <si>
    <t>Hadi I</t>
  </si>
  <si>
    <t>2023-09-30</t>
  </si>
  <si>
    <t>Sari C</t>
  </si>
  <si>
    <t>2024-11-07</t>
  </si>
  <si>
    <t>Kiki J</t>
  </si>
  <si>
    <t>2026-01-03</t>
  </si>
  <si>
    <t>Dewi V</t>
  </si>
  <si>
    <t>2022-03-08</t>
  </si>
  <si>
    <t>Andi B</t>
  </si>
  <si>
    <t>2023-05-02</t>
  </si>
  <si>
    <t>Intan E</t>
  </si>
  <si>
    <t>2023-05-09</t>
  </si>
  <si>
    <t>2023-07-24</t>
  </si>
  <si>
    <t>Kiki T</t>
  </si>
  <si>
    <t>2021-06-01</t>
  </si>
  <si>
    <t>Joko A</t>
  </si>
  <si>
    <t>2022-10-19</t>
  </si>
  <si>
    <t>Maya P</t>
  </si>
  <si>
    <t>2022-09-29</t>
  </si>
  <si>
    <t>Joko P</t>
  </si>
  <si>
    <t>2025-08-09</t>
  </si>
  <si>
    <t>Lina J</t>
  </si>
  <si>
    <t>2022-11-24</t>
  </si>
  <si>
    <t>2025-09-09</t>
  </si>
  <si>
    <t>Andi A</t>
  </si>
  <si>
    <t>2026-02-12</t>
  </si>
  <si>
    <t>Nina F</t>
  </si>
  <si>
    <t>2022-04-25</t>
  </si>
  <si>
    <t>Dewi J</t>
  </si>
  <si>
    <t>2025-06-05</t>
  </si>
  <si>
    <t>Budi Q</t>
  </si>
  <si>
    <t>2023-07-16</t>
  </si>
  <si>
    <t>Rian I</t>
  </si>
  <si>
    <t>2021-09-03</t>
  </si>
  <si>
    <t>2022-06-06</t>
  </si>
  <si>
    <t>Sari E</t>
  </si>
  <si>
    <t>Budi V</t>
  </si>
  <si>
    <t>2025-06-10</t>
  </si>
  <si>
    <t>Budi C</t>
  </si>
  <si>
    <t>2022-03-06</t>
  </si>
  <si>
    <t>2022-02-13</t>
  </si>
  <si>
    <t>Intan Z</t>
  </si>
  <si>
    <t>2021-03-18</t>
  </si>
  <si>
    <t>2021-01-16</t>
  </si>
  <si>
    <t>Dewi E</t>
  </si>
  <si>
    <t>2025-08-21</t>
  </si>
  <si>
    <t>Rian E</t>
  </si>
  <si>
    <t>2024-11-25</t>
  </si>
  <si>
    <t>2022-07-11</t>
  </si>
  <si>
    <t>Hadi U</t>
  </si>
  <si>
    <t>2024-03-11</t>
  </si>
  <si>
    <t>Sari A</t>
  </si>
  <si>
    <t>2025-05-29</t>
  </si>
  <si>
    <t>Oka C</t>
  </si>
  <si>
    <t>2022-01-29</t>
  </si>
  <si>
    <t>Budi E</t>
  </si>
  <si>
    <t>2022-08-15</t>
  </si>
  <si>
    <t>Andi X</t>
  </si>
  <si>
    <t>2025-12-29</t>
  </si>
  <si>
    <t>2026-01-14</t>
  </si>
  <si>
    <t>Joko N</t>
  </si>
  <si>
    <t>2023-08-03</t>
  </si>
  <si>
    <t>Nina G</t>
  </si>
  <si>
    <t>Joko H</t>
  </si>
  <si>
    <t>2022-05-14</t>
  </si>
  <si>
    <t>Kiki X</t>
  </si>
  <si>
    <t>2023-11-29</t>
  </si>
  <si>
    <t>Tono F</t>
  </si>
  <si>
    <t>2024-11-28</t>
  </si>
  <si>
    <t>Nina W</t>
  </si>
  <si>
    <t>2024-12-19</t>
  </si>
  <si>
    <t>Gina S</t>
  </si>
  <si>
    <t>2023-05-31</t>
  </si>
  <si>
    <t>2020-12-03</t>
  </si>
  <si>
    <t>2024-05-12</t>
  </si>
  <si>
    <t>2023-06-01</t>
  </si>
  <si>
    <t>2024-06-29</t>
  </si>
  <si>
    <t>Rian R</t>
  </si>
  <si>
    <t>2021-10-21</t>
  </si>
  <si>
    <t>Rian J</t>
  </si>
  <si>
    <t>2025-01-06</t>
  </si>
  <si>
    <t>Rian K</t>
  </si>
  <si>
    <t>2022-03-23</t>
  </si>
  <si>
    <t>Fajar V</t>
  </si>
  <si>
    <t>2025-07-25</t>
  </si>
  <si>
    <t>Sari P</t>
  </si>
  <si>
    <t>2025-01-24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</si>
</sst>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42" fontId="0" fillId="0" borderId="1" xfId="0" applyNumberForma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71FFB1"/>
        </patternFill>
      </fill>
    </dxf>
  </dxfs>
  <tableStyles count="0" defaultTableStyle="TableStyleMedium2" defaultPivotStyle="PivotStyleLight16"/>
  <colors>
    <mruColors>
      <color rgb="FF71FFB1"/>
      <color rgb="FF00E266"/>
      <color rgb="FFC1FFDD"/>
      <color rgb="FFFF00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BBDE-C75B-4225-BB19-75879A119082}">
  <dimension ref="A1:I102"/>
  <sheetViews>
    <sheetView tabSelected="1" topLeftCell="A75" zoomScale="74" workbookViewId="0">
      <selection activeCell="M93" sqref="M93"/>
    </sheetView>
  </sheetViews>
  <sheetFormatPr defaultRowHeight="15" x14ac:dyDescent="0.25"/>
  <cols>
    <col min="1" max="1" width="16.140625" customWidth="1"/>
    <col min="2" max="2" width="17.28515625" customWidth="1"/>
    <col min="3" max="3" width="17.42578125" customWidth="1"/>
    <col min="4" max="4" width="14.85546875" customWidth="1"/>
    <col min="5" max="5" width="14.140625" customWidth="1"/>
    <col min="6" max="6" width="17.140625" style="1" customWidth="1"/>
    <col min="7" max="7" width="15.5703125" customWidth="1"/>
    <col min="8" max="8" width="14.85546875" customWidth="1"/>
    <col min="9" max="9" width="13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3">
        <f>ROW()-1</f>
        <v>1</v>
      </c>
      <c r="B2" s="2" t="s">
        <v>11</v>
      </c>
      <c r="C2" s="2" t="str">
        <f>VLOOKUP(A2,Sheet2!$A$1:$I$101,3,0)</f>
        <v>Operations</v>
      </c>
      <c r="D2" s="2" t="str">
        <f>VLOOKUP(A2,Sheet2!$A$1:$I$101,4,0)</f>
        <v>Staff</v>
      </c>
      <c r="E2" s="2" t="str">
        <f>VLOOKUP(A2,Sheet2!$A$1:$I$101,5,0)</f>
        <v>Female</v>
      </c>
      <c r="F2" s="3">
        <f>VLOOKUP(A2,Sheet2!$A$1:$I$101,6,0)</f>
        <v>32</v>
      </c>
      <c r="G2" s="6">
        <f>VLOOKUP(A2,Sheet2!$A$1:$I$101,7,0)</f>
        <v>11453852</v>
      </c>
      <c r="H2" s="2" t="str">
        <f>VLOOKUP(A2,Sheet2!$A$1:$I$101,8,0)</f>
        <v>2021-06-21</v>
      </c>
      <c r="I2" s="2" t="str">
        <f>VLOOKUP(A2,Sheet2!$A$1:$I$101,9,0)</f>
        <v>Resigned</v>
      </c>
    </row>
    <row r="3" spans="1:9" x14ac:dyDescent="0.25">
      <c r="A3" s="3">
        <f t="shared" ref="A3:A66" si="0">ROW()-1</f>
        <v>2</v>
      </c>
      <c r="B3" s="2" t="s">
        <v>17</v>
      </c>
      <c r="C3" s="2" t="str">
        <f>VLOOKUP(A3,Sheet2!$A$1:$I$101,3,0)</f>
        <v>Operations</v>
      </c>
      <c r="D3" s="2" t="str">
        <f>VLOOKUP(A3,Sheet2!$A$1:$I$101,4,0)</f>
        <v>Senior Staff</v>
      </c>
      <c r="E3" s="2" t="str">
        <f>VLOOKUP(A3,Sheet2!$A$1:$I$101,5,0)</f>
        <v>Female</v>
      </c>
      <c r="F3" s="3">
        <f>VLOOKUP(A3,Sheet2!$A$1:$I$101,6,0)</f>
        <v>51</v>
      </c>
      <c r="G3" s="6">
        <f>VLOOKUP(A3,Sheet2!$A$1:$I$101,7,0)</f>
        <v>6001172</v>
      </c>
      <c r="H3" s="2" t="str">
        <f>VLOOKUP(A3,Sheet2!$A$1:$I$101,8,0)</f>
        <v>2024-04-05</v>
      </c>
      <c r="I3" s="2" t="str">
        <f>VLOOKUP(A3,Sheet2!$A$1:$I$101,9,0)</f>
        <v>Active</v>
      </c>
    </row>
    <row r="4" spans="1:9" x14ac:dyDescent="0.25">
      <c r="A4" s="3">
        <f t="shared" si="0"/>
        <v>3</v>
      </c>
      <c r="B4" s="2" t="s">
        <v>21</v>
      </c>
      <c r="C4" s="2" t="str">
        <f>VLOOKUP(A4,Sheet2!$A$1:$I$101,3,0)</f>
        <v>Operations</v>
      </c>
      <c r="D4" s="2" t="str">
        <f>VLOOKUP(A4,Sheet2!$A$1:$I$101,4,0)</f>
        <v>Senior Staff</v>
      </c>
      <c r="E4" s="2" t="str">
        <f>VLOOKUP(A4,Sheet2!$A$1:$I$101,5,0)</f>
        <v>Female</v>
      </c>
      <c r="F4" s="3">
        <f>VLOOKUP(A4,Sheet2!$A$1:$I$101,6,0)</f>
        <v>38</v>
      </c>
      <c r="G4" s="6">
        <f>VLOOKUP(A4,Sheet2!$A$1:$I$101,7,0)</f>
        <v>7413799</v>
      </c>
      <c r="H4" s="2" t="str">
        <f>VLOOKUP(A4,Sheet2!$A$1:$I$101,8,0)</f>
        <v>2021-09-29</v>
      </c>
      <c r="I4" s="2" t="str">
        <f>VLOOKUP(A4,Sheet2!$A$1:$I$101,9,0)</f>
        <v>Active</v>
      </c>
    </row>
    <row r="5" spans="1:9" x14ac:dyDescent="0.25">
      <c r="A5" s="3">
        <f t="shared" si="0"/>
        <v>4</v>
      </c>
      <c r="B5" s="2" t="s">
        <v>23</v>
      </c>
      <c r="C5" s="2" t="str">
        <f>VLOOKUP(A5,Sheet2!$A$1:$I$101,3,0)</f>
        <v>IT</v>
      </c>
      <c r="D5" s="2" t="str">
        <f>VLOOKUP(A5,Sheet2!$A$1:$I$101,4,0)</f>
        <v>Supervisor</v>
      </c>
      <c r="E5" s="2" t="str">
        <f>VLOOKUP(A5,Sheet2!$A$1:$I$101,5,0)</f>
        <v>Female</v>
      </c>
      <c r="F5" s="3">
        <f>VLOOKUP(A5,Sheet2!$A$1:$I$101,6,0)</f>
        <v>48</v>
      </c>
      <c r="G5" s="6">
        <f>VLOOKUP(A5,Sheet2!$A$1:$I$101,7,0)</f>
        <v>10449313</v>
      </c>
      <c r="H5" s="2" t="str">
        <f>VLOOKUP(A5,Sheet2!$A$1:$I$101,8,0)</f>
        <v>2021-01-22</v>
      </c>
      <c r="I5" s="2" t="str">
        <f>VLOOKUP(A5,Sheet2!$A$1:$I$101,9,0)</f>
        <v>Active</v>
      </c>
    </row>
    <row r="6" spans="1:9" x14ac:dyDescent="0.25">
      <c r="A6" s="3">
        <f t="shared" si="0"/>
        <v>5</v>
      </c>
      <c r="B6" s="2" t="s">
        <v>27</v>
      </c>
      <c r="C6" s="2" t="str">
        <f>VLOOKUP(A6,Sheet2!$A$1:$I$101,3,0)</f>
        <v>HR</v>
      </c>
      <c r="D6" s="2" t="str">
        <f>VLOOKUP(A6,Sheet2!$A$1:$I$101,4,0)</f>
        <v>Manager</v>
      </c>
      <c r="E6" s="2" t="str">
        <f>VLOOKUP(A6,Sheet2!$A$1:$I$101,5,0)</f>
        <v>Female</v>
      </c>
      <c r="F6" s="3">
        <f>VLOOKUP(A6,Sheet2!$A$1:$I$101,6,0)</f>
        <v>27</v>
      </c>
      <c r="G6" s="6">
        <f>VLOOKUP(A6,Sheet2!$A$1:$I$101,7,0)</f>
        <v>4372338</v>
      </c>
      <c r="H6" s="2" t="str">
        <f>VLOOKUP(A6,Sheet2!$A$1:$I$101,8,0)</f>
        <v>2025-05-15</v>
      </c>
      <c r="I6" s="2" t="str">
        <f>VLOOKUP(A6,Sheet2!$A$1:$I$101,9,0)</f>
        <v>Active</v>
      </c>
    </row>
    <row r="7" spans="1:9" x14ac:dyDescent="0.25">
      <c r="A7" s="3">
        <f t="shared" si="0"/>
        <v>6</v>
      </c>
      <c r="B7" s="2" t="s">
        <v>31</v>
      </c>
      <c r="C7" s="2" t="str">
        <f>VLOOKUP(A7,Sheet2!$A$1:$I$101,3,0)</f>
        <v>Finance</v>
      </c>
      <c r="D7" s="2" t="str">
        <f>VLOOKUP(A7,Sheet2!$A$1:$I$101,4,0)</f>
        <v>Supervisor</v>
      </c>
      <c r="E7" s="2" t="str">
        <f>VLOOKUP(A7,Sheet2!$A$1:$I$101,5,0)</f>
        <v>Female</v>
      </c>
      <c r="F7" s="3">
        <f>VLOOKUP(A7,Sheet2!$A$1:$I$101,6,0)</f>
        <v>51</v>
      </c>
      <c r="G7" s="6">
        <f>VLOOKUP(A7,Sheet2!$A$1:$I$101,7,0)</f>
        <v>10293130</v>
      </c>
      <c r="H7" s="2" t="str">
        <f>VLOOKUP(A7,Sheet2!$A$1:$I$101,8,0)</f>
        <v>2022-04-07</v>
      </c>
      <c r="I7" s="2" t="str">
        <f>VLOOKUP(A7,Sheet2!$A$1:$I$101,9,0)</f>
        <v>Active</v>
      </c>
    </row>
    <row r="8" spans="1:9" x14ac:dyDescent="0.25">
      <c r="A8" s="3">
        <f t="shared" si="0"/>
        <v>7</v>
      </c>
      <c r="B8" s="2" t="s">
        <v>34</v>
      </c>
      <c r="C8" s="2" t="str">
        <f>VLOOKUP(A8,Sheet2!$A$1:$I$101,3,0)</f>
        <v>Operations</v>
      </c>
      <c r="D8" s="2" t="str">
        <f>VLOOKUP(A8,Sheet2!$A$1:$I$101,4,0)</f>
        <v>Supervisor</v>
      </c>
      <c r="E8" s="2" t="str">
        <f>VLOOKUP(A8,Sheet2!$A$1:$I$101,5,0)</f>
        <v>Female</v>
      </c>
      <c r="F8" s="3">
        <f>VLOOKUP(A8,Sheet2!$A$1:$I$101,6,0)</f>
        <v>43</v>
      </c>
      <c r="G8" s="6">
        <f>VLOOKUP(A8,Sheet2!$A$1:$I$101,7,0)</f>
        <v>5377372</v>
      </c>
      <c r="H8" s="2" t="str">
        <f>VLOOKUP(A8,Sheet2!$A$1:$I$101,8,0)</f>
        <v>2025-03-30</v>
      </c>
      <c r="I8" s="2" t="str">
        <f>VLOOKUP(A8,Sheet2!$A$1:$I$101,9,0)</f>
        <v>Resigned</v>
      </c>
    </row>
    <row r="9" spans="1:9" x14ac:dyDescent="0.25">
      <c r="A9" s="3">
        <f t="shared" si="0"/>
        <v>8</v>
      </c>
      <c r="B9" s="2" t="s">
        <v>36</v>
      </c>
      <c r="C9" s="2" t="str">
        <f>VLOOKUP(A9,Sheet2!$A$1:$I$101,3,0)</f>
        <v>Finance</v>
      </c>
      <c r="D9" s="2" t="str">
        <f>VLOOKUP(A9,Sheet2!$A$1:$I$101,4,0)</f>
        <v>Manager</v>
      </c>
      <c r="E9" s="2" t="str">
        <f>VLOOKUP(A9,Sheet2!$A$1:$I$101,5,0)</f>
        <v>Female</v>
      </c>
      <c r="F9" s="3">
        <f>VLOOKUP(A9,Sheet2!$A$1:$I$101,6,0)</f>
        <v>55</v>
      </c>
      <c r="G9" s="6">
        <f>VLOOKUP(A9,Sheet2!$A$1:$I$101,7,0)</f>
        <v>7547167</v>
      </c>
      <c r="H9" s="2" t="str">
        <f>VLOOKUP(A9,Sheet2!$A$1:$I$101,8,0)</f>
        <v>2025-08-31</v>
      </c>
      <c r="I9" s="2" t="str">
        <f>VLOOKUP(A9,Sheet2!$A$1:$I$101,9,0)</f>
        <v>Active</v>
      </c>
    </row>
    <row r="10" spans="1:9" x14ac:dyDescent="0.25">
      <c r="A10" s="3">
        <f t="shared" si="0"/>
        <v>9</v>
      </c>
      <c r="B10" s="2" t="s">
        <v>38</v>
      </c>
      <c r="C10" s="2" t="str">
        <f>VLOOKUP(A10,Sheet2!$A$1:$I$101,3,0)</f>
        <v>Finance</v>
      </c>
      <c r="D10" s="2" t="str">
        <f>VLOOKUP(A10,Sheet2!$A$1:$I$101,4,0)</f>
        <v>Senior Staff</v>
      </c>
      <c r="E10" s="2" t="str">
        <f>VLOOKUP(A10,Sheet2!$A$1:$I$101,5,0)</f>
        <v>Female</v>
      </c>
      <c r="F10" s="3">
        <f>VLOOKUP(A10,Sheet2!$A$1:$I$101,6,0)</f>
        <v>24</v>
      </c>
      <c r="G10" s="6">
        <f>VLOOKUP(A10,Sheet2!$A$1:$I$101,7,0)</f>
        <v>14294913</v>
      </c>
      <c r="H10" s="2" t="str">
        <f>VLOOKUP(A10,Sheet2!$A$1:$I$101,8,0)</f>
        <v>2023-11-25</v>
      </c>
      <c r="I10" s="2" t="str">
        <f>VLOOKUP(A10,Sheet2!$A$1:$I$101,9,0)</f>
        <v>Active</v>
      </c>
    </row>
    <row r="11" spans="1:9" x14ac:dyDescent="0.25">
      <c r="A11" s="3">
        <f t="shared" si="0"/>
        <v>10</v>
      </c>
      <c r="B11" s="2" t="s">
        <v>40</v>
      </c>
      <c r="C11" s="2" t="str">
        <f>VLOOKUP(A11,Sheet2!$A$1:$I$101,3,0)</f>
        <v>HR</v>
      </c>
      <c r="D11" s="2" t="str">
        <f>VLOOKUP(A11,Sheet2!$A$1:$I$101,4,0)</f>
        <v>Senior Staff</v>
      </c>
      <c r="E11" s="2" t="str">
        <f>VLOOKUP(A11,Sheet2!$A$1:$I$101,5,0)</f>
        <v>Female</v>
      </c>
      <c r="F11" s="3">
        <f>VLOOKUP(A11,Sheet2!$A$1:$I$101,6,0)</f>
        <v>50</v>
      </c>
      <c r="G11" s="6">
        <f>VLOOKUP(A11,Sheet2!$A$1:$I$101,7,0)</f>
        <v>5583136</v>
      </c>
      <c r="H11" s="2" t="str">
        <f>VLOOKUP(A11,Sheet2!$A$1:$I$101,8,0)</f>
        <v>2024-07-17</v>
      </c>
      <c r="I11" s="2" t="str">
        <f>VLOOKUP(A11,Sheet2!$A$1:$I$101,9,0)</f>
        <v>Active</v>
      </c>
    </row>
    <row r="12" spans="1:9" x14ac:dyDescent="0.25">
      <c r="A12" s="3">
        <f t="shared" si="0"/>
        <v>11</v>
      </c>
      <c r="B12" s="2" t="s">
        <v>42</v>
      </c>
      <c r="C12" s="2" t="str">
        <f>VLOOKUP(A12,Sheet2!$A$1:$I$101,3,0)</f>
        <v>Finance</v>
      </c>
      <c r="D12" s="2" t="str">
        <f>VLOOKUP(A12,Sheet2!$A$1:$I$101,4,0)</f>
        <v>Supervisor</v>
      </c>
      <c r="E12" s="2" t="str">
        <f>VLOOKUP(A12,Sheet2!$A$1:$I$101,5,0)</f>
        <v>Female</v>
      </c>
      <c r="F12" s="3">
        <f>VLOOKUP(A12,Sheet2!$A$1:$I$101,6,0)</f>
        <v>32</v>
      </c>
      <c r="G12" s="6">
        <f>VLOOKUP(A12,Sheet2!$A$1:$I$101,7,0)</f>
        <v>11947624</v>
      </c>
      <c r="H12" s="2" t="str">
        <f>VLOOKUP(A12,Sheet2!$A$1:$I$101,8,0)</f>
        <v>2025-05-12</v>
      </c>
      <c r="I12" s="2" t="str">
        <f>VLOOKUP(A12,Sheet2!$A$1:$I$101,9,0)</f>
        <v>Active</v>
      </c>
    </row>
    <row r="13" spans="1:9" x14ac:dyDescent="0.25">
      <c r="A13" s="3">
        <f t="shared" si="0"/>
        <v>12</v>
      </c>
      <c r="B13" s="2" t="s">
        <v>44</v>
      </c>
      <c r="C13" s="2" t="str">
        <f>VLOOKUP(A13,Sheet2!$A$1:$I$101,3,0)</f>
        <v>Finance</v>
      </c>
      <c r="D13" s="2" t="str">
        <f>VLOOKUP(A13,Sheet2!$A$1:$I$101,4,0)</f>
        <v>Staff</v>
      </c>
      <c r="E13" s="2" t="str">
        <f>VLOOKUP(A13,Sheet2!$A$1:$I$101,5,0)</f>
        <v>Male</v>
      </c>
      <c r="F13" s="3">
        <f>VLOOKUP(A13,Sheet2!$A$1:$I$101,6,0)</f>
        <v>23</v>
      </c>
      <c r="G13" s="6">
        <f>VLOOKUP(A13,Sheet2!$A$1:$I$101,7,0)</f>
        <v>13728950</v>
      </c>
      <c r="H13" s="2" t="str">
        <f>VLOOKUP(A13,Sheet2!$A$1:$I$101,8,0)</f>
        <v>2024-06-25</v>
      </c>
      <c r="I13" s="2" t="str">
        <f>VLOOKUP(A13,Sheet2!$A$1:$I$101,9,0)</f>
        <v>Active</v>
      </c>
    </row>
    <row r="14" spans="1:9" x14ac:dyDescent="0.25">
      <c r="A14" s="3">
        <f t="shared" si="0"/>
        <v>13</v>
      </c>
      <c r="B14" s="2" t="s">
        <v>47</v>
      </c>
      <c r="C14" s="2" t="str">
        <f>VLOOKUP(A14,Sheet2!$A$1:$I$101,3,0)</f>
        <v>HR</v>
      </c>
      <c r="D14" s="2" t="str">
        <f>VLOOKUP(A14,Sheet2!$A$1:$I$101,4,0)</f>
        <v>Supervisor</v>
      </c>
      <c r="E14" s="2" t="str">
        <f>VLOOKUP(A14,Sheet2!$A$1:$I$101,5,0)</f>
        <v>Male</v>
      </c>
      <c r="F14" s="3">
        <f>VLOOKUP(A14,Sheet2!$A$1:$I$101,6,0)</f>
        <v>52</v>
      </c>
      <c r="G14" s="6">
        <f>VLOOKUP(A14,Sheet2!$A$1:$I$101,7,0)</f>
        <v>10020173</v>
      </c>
      <c r="H14" s="2" t="str">
        <f>VLOOKUP(A14,Sheet2!$A$1:$I$101,8,0)</f>
        <v>2020-12-15</v>
      </c>
      <c r="I14" s="2" t="str">
        <f>VLOOKUP(A14,Sheet2!$A$1:$I$101,9,0)</f>
        <v>Active</v>
      </c>
    </row>
    <row r="15" spans="1:9" x14ac:dyDescent="0.25">
      <c r="A15" s="3">
        <f t="shared" si="0"/>
        <v>14</v>
      </c>
      <c r="B15" s="2" t="s">
        <v>49</v>
      </c>
      <c r="C15" s="2" t="str">
        <f>VLOOKUP(A15,Sheet2!$A$1:$I$101,3,0)</f>
        <v>Marketing</v>
      </c>
      <c r="D15" s="2" t="str">
        <f>VLOOKUP(A15,Sheet2!$A$1:$I$101,4,0)</f>
        <v>Senior Staff</v>
      </c>
      <c r="E15" s="2" t="str">
        <f>VLOOKUP(A15,Sheet2!$A$1:$I$101,5,0)</f>
        <v>Female</v>
      </c>
      <c r="F15" s="3">
        <f>VLOOKUP(A15,Sheet2!$A$1:$I$101,6,0)</f>
        <v>36</v>
      </c>
      <c r="G15" s="6">
        <f>VLOOKUP(A15,Sheet2!$A$1:$I$101,7,0)</f>
        <v>4882327</v>
      </c>
      <c r="H15" s="2" t="str">
        <f>VLOOKUP(A15,Sheet2!$A$1:$I$101,8,0)</f>
        <v>2020-11-10</v>
      </c>
      <c r="I15" s="2" t="str">
        <f>VLOOKUP(A15,Sheet2!$A$1:$I$101,9,0)</f>
        <v>Resigned</v>
      </c>
    </row>
    <row r="16" spans="1:9" x14ac:dyDescent="0.25">
      <c r="A16" s="3">
        <f t="shared" si="0"/>
        <v>15</v>
      </c>
      <c r="B16" s="2" t="s">
        <v>52</v>
      </c>
      <c r="C16" s="2" t="str">
        <f>VLOOKUP(A16,Sheet2!$A$1:$I$101,3,0)</f>
        <v>Finance</v>
      </c>
      <c r="D16" s="2" t="str">
        <f>VLOOKUP(A16,Sheet2!$A$1:$I$101,4,0)</f>
        <v>Staff</v>
      </c>
      <c r="E16" s="2" t="str">
        <f>VLOOKUP(A16,Sheet2!$A$1:$I$101,5,0)</f>
        <v>Female</v>
      </c>
      <c r="F16" s="3">
        <f>VLOOKUP(A16,Sheet2!$A$1:$I$101,6,0)</f>
        <v>34</v>
      </c>
      <c r="G16" s="6">
        <f>VLOOKUP(A16,Sheet2!$A$1:$I$101,7,0)</f>
        <v>7976049</v>
      </c>
      <c r="H16" s="2" t="str">
        <f>VLOOKUP(A16,Sheet2!$A$1:$I$101,8,0)</f>
        <v>2024-03-31</v>
      </c>
      <c r="I16" s="2" t="str">
        <f>VLOOKUP(A16,Sheet2!$A$1:$I$101,9,0)</f>
        <v>Active</v>
      </c>
    </row>
    <row r="17" spans="1:9" x14ac:dyDescent="0.25">
      <c r="A17" s="3">
        <f t="shared" si="0"/>
        <v>16</v>
      </c>
      <c r="B17" s="2" t="s">
        <v>54</v>
      </c>
      <c r="C17" s="2" t="str">
        <f>VLOOKUP(A17,Sheet2!$A$1:$I$101,3,0)</f>
        <v>Marketing</v>
      </c>
      <c r="D17" s="2" t="str">
        <f>VLOOKUP(A17,Sheet2!$A$1:$I$101,4,0)</f>
        <v>Staff</v>
      </c>
      <c r="E17" s="2" t="str">
        <f>VLOOKUP(A17,Sheet2!$A$1:$I$101,5,0)</f>
        <v>Female</v>
      </c>
      <c r="F17" s="3">
        <f>VLOOKUP(A17,Sheet2!$A$1:$I$101,6,0)</f>
        <v>55</v>
      </c>
      <c r="G17" s="6">
        <f>VLOOKUP(A17,Sheet2!$A$1:$I$101,7,0)</f>
        <v>12392424</v>
      </c>
      <c r="H17" s="2" t="str">
        <f>VLOOKUP(A17,Sheet2!$A$1:$I$101,8,0)</f>
        <v>2025-04-19</v>
      </c>
      <c r="I17" s="2" t="str">
        <f>VLOOKUP(A17,Sheet2!$A$1:$I$101,9,0)</f>
        <v>Active</v>
      </c>
    </row>
    <row r="18" spans="1:9" x14ac:dyDescent="0.25">
      <c r="A18" s="3">
        <f t="shared" si="0"/>
        <v>17</v>
      </c>
      <c r="B18" s="2" t="s">
        <v>56</v>
      </c>
      <c r="C18" s="2" t="str">
        <f>VLOOKUP(A18,Sheet2!$A$1:$I$101,3,0)</f>
        <v>Marketing</v>
      </c>
      <c r="D18" s="2" t="str">
        <f>VLOOKUP(A18,Sheet2!$A$1:$I$101,4,0)</f>
        <v>Supervisor</v>
      </c>
      <c r="E18" s="2" t="str">
        <f>VLOOKUP(A18,Sheet2!$A$1:$I$101,5,0)</f>
        <v>Male</v>
      </c>
      <c r="F18" s="3">
        <f>VLOOKUP(A18,Sheet2!$A$1:$I$101,6,0)</f>
        <v>44</v>
      </c>
      <c r="G18" s="6">
        <f>VLOOKUP(A18,Sheet2!$A$1:$I$101,7,0)</f>
        <v>13710745</v>
      </c>
      <c r="H18" s="2" t="str">
        <f>VLOOKUP(A18,Sheet2!$A$1:$I$101,8,0)</f>
        <v>2023-01-07</v>
      </c>
      <c r="I18" s="2" t="str">
        <f>VLOOKUP(A18,Sheet2!$A$1:$I$101,9,0)</f>
        <v>Resigned</v>
      </c>
    </row>
    <row r="19" spans="1:9" x14ac:dyDescent="0.25">
      <c r="A19" s="3">
        <f t="shared" si="0"/>
        <v>18</v>
      </c>
      <c r="B19" s="2" t="s">
        <v>58</v>
      </c>
      <c r="C19" s="2" t="str">
        <f>VLOOKUP(A19,Sheet2!$A$1:$I$101,3,0)</f>
        <v>HR</v>
      </c>
      <c r="D19" s="2" t="str">
        <f>VLOOKUP(A19,Sheet2!$A$1:$I$101,4,0)</f>
        <v>Staff</v>
      </c>
      <c r="E19" s="2" t="str">
        <f>VLOOKUP(A19,Sheet2!$A$1:$I$101,5,0)</f>
        <v>Male</v>
      </c>
      <c r="F19" s="3">
        <f>VLOOKUP(A19,Sheet2!$A$1:$I$101,6,0)</f>
        <v>55</v>
      </c>
      <c r="G19" s="6">
        <f>VLOOKUP(A19,Sheet2!$A$1:$I$101,7,0)</f>
        <v>12151736</v>
      </c>
      <c r="H19" s="2" t="str">
        <f>VLOOKUP(A19,Sheet2!$A$1:$I$101,8,0)</f>
        <v>2025-04-30</v>
      </c>
      <c r="I19" s="2" t="str">
        <f>VLOOKUP(A19,Sheet2!$A$1:$I$101,9,0)</f>
        <v>Active</v>
      </c>
    </row>
    <row r="20" spans="1:9" x14ac:dyDescent="0.25">
      <c r="A20" s="3">
        <f t="shared" si="0"/>
        <v>19</v>
      </c>
      <c r="B20" s="2" t="s">
        <v>60</v>
      </c>
      <c r="C20" s="2" t="str">
        <f>VLOOKUP(A20,Sheet2!$A$1:$I$101,3,0)</f>
        <v>IT</v>
      </c>
      <c r="D20" s="2" t="str">
        <f>VLOOKUP(A20,Sheet2!$A$1:$I$101,4,0)</f>
        <v>Supervisor</v>
      </c>
      <c r="E20" s="2" t="str">
        <f>VLOOKUP(A20,Sheet2!$A$1:$I$101,5,0)</f>
        <v>Female</v>
      </c>
      <c r="F20" s="3">
        <f>VLOOKUP(A20,Sheet2!$A$1:$I$101,6,0)</f>
        <v>46</v>
      </c>
      <c r="G20" s="6">
        <f>VLOOKUP(A20,Sheet2!$A$1:$I$101,7,0)</f>
        <v>10201363</v>
      </c>
      <c r="H20" s="2" t="str">
        <f>VLOOKUP(A20,Sheet2!$A$1:$I$101,8,0)</f>
        <v>2022-06-09</v>
      </c>
      <c r="I20" s="2" t="str">
        <f>VLOOKUP(A20,Sheet2!$A$1:$I$101,9,0)</f>
        <v>Active</v>
      </c>
    </row>
    <row r="21" spans="1:9" x14ac:dyDescent="0.25">
      <c r="A21" s="3">
        <f t="shared" si="0"/>
        <v>20</v>
      </c>
      <c r="B21" s="2" t="s">
        <v>62</v>
      </c>
      <c r="C21" s="2" t="str">
        <f>VLOOKUP(A21,Sheet2!$A$1:$I$101,3,0)</f>
        <v>HR</v>
      </c>
      <c r="D21" s="2" t="str">
        <f>VLOOKUP(A21,Sheet2!$A$1:$I$101,4,0)</f>
        <v>Supervisor</v>
      </c>
      <c r="E21" s="2" t="str">
        <f>VLOOKUP(A21,Sheet2!$A$1:$I$101,5,0)</f>
        <v>Male</v>
      </c>
      <c r="F21" s="3">
        <f>VLOOKUP(A21,Sheet2!$A$1:$I$101,6,0)</f>
        <v>34</v>
      </c>
      <c r="G21" s="6">
        <f>VLOOKUP(A21,Sheet2!$A$1:$I$101,7,0)</f>
        <v>10045645</v>
      </c>
      <c r="H21" s="2" t="str">
        <f>VLOOKUP(A21,Sheet2!$A$1:$I$101,8,0)</f>
        <v>2026-02-15</v>
      </c>
      <c r="I21" s="2" t="str">
        <f>VLOOKUP(A21,Sheet2!$A$1:$I$101,9,0)</f>
        <v>Active</v>
      </c>
    </row>
    <row r="22" spans="1:9" x14ac:dyDescent="0.25">
      <c r="A22" s="3">
        <f t="shared" si="0"/>
        <v>21</v>
      </c>
      <c r="B22" s="2" t="s">
        <v>64</v>
      </c>
      <c r="C22" s="2" t="str">
        <f>VLOOKUP(A22,Sheet2!$A$1:$I$101,3,0)</f>
        <v>Marketing</v>
      </c>
      <c r="D22" s="2" t="str">
        <f>VLOOKUP(A22,Sheet2!$A$1:$I$101,4,0)</f>
        <v>Supervisor</v>
      </c>
      <c r="E22" s="2" t="str">
        <f>VLOOKUP(A22,Sheet2!$A$1:$I$101,5,0)</f>
        <v>Male</v>
      </c>
      <c r="F22" s="3">
        <f>VLOOKUP(A22,Sheet2!$A$1:$I$101,6,0)</f>
        <v>48</v>
      </c>
      <c r="G22" s="6">
        <f>VLOOKUP(A22,Sheet2!$A$1:$I$101,7,0)</f>
        <v>10980130</v>
      </c>
      <c r="H22" s="2" t="str">
        <f>VLOOKUP(A22,Sheet2!$A$1:$I$101,8,0)</f>
        <v>2022-03-02</v>
      </c>
      <c r="I22" s="2" t="str">
        <f>VLOOKUP(A22,Sheet2!$A$1:$I$101,9,0)</f>
        <v>Active</v>
      </c>
    </row>
    <row r="23" spans="1:9" x14ac:dyDescent="0.25">
      <c r="A23" s="3">
        <f t="shared" si="0"/>
        <v>22</v>
      </c>
      <c r="B23" s="2" t="s">
        <v>66</v>
      </c>
      <c r="C23" s="2" t="str">
        <f>VLOOKUP(A23,Sheet2!$A$1:$I$101,3,0)</f>
        <v>HR</v>
      </c>
      <c r="D23" s="2" t="str">
        <f>VLOOKUP(A23,Sheet2!$A$1:$I$101,4,0)</f>
        <v>Senior Staff</v>
      </c>
      <c r="E23" s="2" t="str">
        <f>VLOOKUP(A23,Sheet2!$A$1:$I$101,5,0)</f>
        <v>Female</v>
      </c>
      <c r="F23" s="3">
        <f>VLOOKUP(A23,Sheet2!$A$1:$I$101,6,0)</f>
        <v>33</v>
      </c>
      <c r="G23" s="6">
        <f>VLOOKUP(A23,Sheet2!$A$1:$I$101,7,0)</f>
        <v>6014948</v>
      </c>
      <c r="H23" s="2" t="str">
        <f>VLOOKUP(A23,Sheet2!$A$1:$I$101,8,0)</f>
        <v>2022-02-21</v>
      </c>
      <c r="I23" s="2" t="str">
        <f>VLOOKUP(A23,Sheet2!$A$1:$I$101,9,0)</f>
        <v>Active</v>
      </c>
    </row>
    <row r="24" spans="1:9" x14ac:dyDescent="0.25">
      <c r="A24" s="3">
        <f t="shared" si="0"/>
        <v>23</v>
      </c>
      <c r="B24" s="2" t="s">
        <v>68</v>
      </c>
      <c r="C24" s="2" t="str">
        <f>VLOOKUP(A24,Sheet2!$A$1:$I$101,3,0)</f>
        <v>Marketing</v>
      </c>
      <c r="D24" s="2" t="str">
        <f>VLOOKUP(A24,Sheet2!$A$1:$I$101,4,0)</f>
        <v>Supervisor</v>
      </c>
      <c r="E24" s="2" t="str">
        <f>VLOOKUP(A24,Sheet2!$A$1:$I$101,5,0)</f>
        <v>Female</v>
      </c>
      <c r="F24" s="3">
        <f>VLOOKUP(A24,Sheet2!$A$1:$I$101,6,0)</f>
        <v>40</v>
      </c>
      <c r="G24" s="6">
        <f>VLOOKUP(A24,Sheet2!$A$1:$I$101,7,0)</f>
        <v>11805830</v>
      </c>
      <c r="H24" s="2" t="str">
        <f>VLOOKUP(A24,Sheet2!$A$1:$I$101,8,0)</f>
        <v>2022-08-31</v>
      </c>
      <c r="I24" s="2" t="str">
        <f>VLOOKUP(A24,Sheet2!$A$1:$I$101,9,0)</f>
        <v>Active</v>
      </c>
    </row>
    <row r="25" spans="1:9" x14ac:dyDescent="0.25">
      <c r="A25" s="3">
        <f t="shared" si="0"/>
        <v>24</v>
      </c>
      <c r="B25" s="2" t="s">
        <v>70</v>
      </c>
      <c r="C25" s="2" t="str">
        <f>VLOOKUP(A25,Sheet2!$A$1:$I$101,3,0)</f>
        <v>IT</v>
      </c>
      <c r="D25" s="2" t="str">
        <f>VLOOKUP(A25,Sheet2!$A$1:$I$101,4,0)</f>
        <v>Manager</v>
      </c>
      <c r="E25" s="2" t="str">
        <f>VLOOKUP(A25,Sheet2!$A$1:$I$101,5,0)</f>
        <v>Female</v>
      </c>
      <c r="F25" s="3">
        <f>VLOOKUP(A25,Sheet2!$A$1:$I$101,6,0)</f>
        <v>32</v>
      </c>
      <c r="G25" s="6">
        <f>VLOOKUP(A25,Sheet2!$A$1:$I$101,7,0)</f>
        <v>4767765</v>
      </c>
      <c r="H25" s="2" t="str">
        <f>VLOOKUP(A25,Sheet2!$A$1:$I$101,8,0)</f>
        <v>2025-10-24</v>
      </c>
      <c r="I25" s="2" t="str">
        <f>VLOOKUP(A25,Sheet2!$A$1:$I$101,9,0)</f>
        <v>Active</v>
      </c>
    </row>
    <row r="26" spans="1:9" x14ac:dyDescent="0.25">
      <c r="A26" s="3">
        <f t="shared" si="0"/>
        <v>25</v>
      </c>
      <c r="B26" s="2" t="s">
        <v>72</v>
      </c>
      <c r="C26" s="2" t="str">
        <f>VLOOKUP(A26,Sheet2!$A$1:$I$101,3,0)</f>
        <v>Operations</v>
      </c>
      <c r="D26" s="2" t="str">
        <f>VLOOKUP(A26,Sheet2!$A$1:$I$101,4,0)</f>
        <v>Senior Staff</v>
      </c>
      <c r="E26" s="2" t="str">
        <f>VLOOKUP(A26,Sheet2!$A$1:$I$101,5,0)</f>
        <v>Male</v>
      </c>
      <c r="F26" s="3">
        <f>VLOOKUP(A26,Sheet2!$A$1:$I$101,6,0)</f>
        <v>50</v>
      </c>
      <c r="G26" s="6">
        <f>VLOOKUP(A26,Sheet2!$A$1:$I$101,7,0)</f>
        <v>10209540</v>
      </c>
      <c r="H26" s="2" t="str">
        <f>VLOOKUP(A26,Sheet2!$A$1:$I$101,8,0)</f>
        <v>2021-05-30</v>
      </c>
      <c r="I26" s="2" t="str">
        <f>VLOOKUP(A26,Sheet2!$A$1:$I$101,9,0)</f>
        <v>Active</v>
      </c>
    </row>
    <row r="27" spans="1:9" x14ac:dyDescent="0.25">
      <c r="A27" s="3">
        <f t="shared" si="0"/>
        <v>26</v>
      </c>
      <c r="B27" s="2" t="s">
        <v>74</v>
      </c>
      <c r="C27" s="2" t="str">
        <f>VLOOKUP(A27,Sheet2!$A$1:$I$101,3,0)</f>
        <v>HR</v>
      </c>
      <c r="D27" s="2" t="str">
        <f>VLOOKUP(A27,Sheet2!$A$1:$I$101,4,0)</f>
        <v>Supervisor</v>
      </c>
      <c r="E27" s="2" t="str">
        <f>VLOOKUP(A27,Sheet2!$A$1:$I$101,5,0)</f>
        <v>Female</v>
      </c>
      <c r="F27" s="3">
        <f>VLOOKUP(A27,Sheet2!$A$1:$I$101,6,0)</f>
        <v>44</v>
      </c>
      <c r="G27" s="6">
        <f>VLOOKUP(A27,Sheet2!$A$1:$I$101,7,0)</f>
        <v>14035700</v>
      </c>
      <c r="H27" s="2" t="str">
        <f>VLOOKUP(A27,Sheet2!$A$1:$I$101,8,0)</f>
        <v>2025-12-01</v>
      </c>
      <c r="I27" s="2" t="str">
        <f>VLOOKUP(A27,Sheet2!$A$1:$I$101,9,0)</f>
        <v>Resigned</v>
      </c>
    </row>
    <row r="28" spans="1:9" x14ac:dyDescent="0.25">
      <c r="A28" s="3">
        <f t="shared" si="0"/>
        <v>27</v>
      </c>
      <c r="B28" s="2" t="s">
        <v>76</v>
      </c>
      <c r="C28" s="2" t="str">
        <f>VLOOKUP(A28,Sheet2!$A$1:$I$101,3,0)</f>
        <v>Operations</v>
      </c>
      <c r="D28" s="2" t="str">
        <f>VLOOKUP(A28,Sheet2!$A$1:$I$101,4,0)</f>
        <v>Manager</v>
      </c>
      <c r="E28" s="2" t="str">
        <f>VLOOKUP(A28,Sheet2!$A$1:$I$101,5,0)</f>
        <v>Male</v>
      </c>
      <c r="F28" s="3">
        <f>VLOOKUP(A28,Sheet2!$A$1:$I$101,6,0)</f>
        <v>25</v>
      </c>
      <c r="G28" s="6">
        <f>VLOOKUP(A28,Sheet2!$A$1:$I$101,7,0)</f>
        <v>6136466</v>
      </c>
      <c r="H28" s="2" t="str">
        <f>VLOOKUP(A28,Sheet2!$A$1:$I$101,8,0)</f>
        <v>2024-09-23</v>
      </c>
      <c r="I28" s="2" t="str">
        <f>VLOOKUP(A28,Sheet2!$A$1:$I$101,9,0)</f>
        <v>Resigned</v>
      </c>
    </row>
    <row r="29" spans="1:9" x14ac:dyDescent="0.25">
      <c r="A29" s="3">
        <f t="shared" si="0"/>
        <v>28</v>
      </c>
      <c r="B29" s="2" t="s">
        <v>78</v>
      </c>
      <c r="C29" s="2" t="str">
        <f>VLOOKUP(A29,Sheet2!$A$1:$I$101,3,0)</f>
        <v>Marketing</v>
      </c>
      <c r="D29" s="2" t="str">
        <f>VLOOKUP(A29,Sheet2!$A$1:$I$101,4,0)</f>
        <v>Staff</v>
      </c>
      <c r="E29" s="2" t="str">
        <f>VLOOKUP(A29,Sheet2!$A$1:$I$101,5,0)</f>
        <v>Female</v>
      </c>
      <c r="F29" s="3">
        <f>VLOOKUP(A29,Sheet2!$A$1:$I$101,6,0)</f>
        <v>36</v>
      </c>
      <c r="G29" s="6">
        <f>VLOOKUP(A29,Sheet2!$A$1:$I$101,7,0)</f>
        <v>5157630</v>
      </c>
      <c r="H29" s="2" t="str">
        <f>VLOOKUP(A29,Sheet2!$A$1:$I$101,8,0)</f>
        <v>2022-01-08</v>
      </c>
      <c r="I29" s="2" t="str">
        <f>VLOOKUP(A29,Sheet2!$A$1:$I$101,9,0)</f>
        <v>Active</v>
      </c>
    </row>
    <row r="30" spans="1:9" x14ac:dyDescent="0.25">
      <c r="A30" s="3">
        <f t="shared" si="0"/>
        <v>29</v>
      </c>
      <c r="B30" s="2" t="s">
        <v>80</v>
      </c>
      <c r="C30" s="2" t="str">
        <f>VLOOKUP(A30,Sheet2!$A$1:$I$101,3,0)</f>
        <v>Finance</v>
      </c>
      <c r="D30" s="2" t="str">
        <f>VLOOKUP(A30,Sheet2!$A$1:$I$101,4,0)</f>
        <v>Manager</v>
      </c>
      <c r="E30" s="2" t="str">
        <f>VLOOKUP(A30,Sheet2!$A$1:$I$101,5,0)</f>
        <v>Male</v>
      </c>
      <c r="F30" s="3">
        <f>VLOOKUP(A30,Sheet2!$A$1:$I$101,6,0)</f>
        <v>33</v>
      </c>
      <c r="G30" s="6">
        <f>VLOOKUP(A30,Sheet2!$A$1:$I$101,7,0)</f>
        <v>10924326</v>
      </c>
      <c r="H30" s="2" t="str">
        <f>VLOOKUP(A30,Sheet2!$A$1:$I$101,8,0)</f>
        <v>2023-03-01</v>
      </c>
      <c r="I30" s="2" t="str">
        <f>VLOOKUP(A30,Sheet2!$A$1:$I$101,9,0)</f>
        <v>Resigned</v>
      </c>
    </row>
    <row r="31" spans="1:9" x14ac:dyDescent="0.25">
      <c r="A31" s="3">
        <f t="shared" si="0"/>
        <v>30</v>
      </c>
      <c r="B31" s="2" t="s">
        <v>82</v>
      </c>
      <c r="C31" s="2" t="str">
        <f>VLOOKUP(A31,Sheet2!$A$1:$I$101,3,0)</f>
        <v>Marketing</v>
      </c>
      <c r="D31" s="2" t="str">
        <f>VLOOKUP(A31,Sheet2!$A$1:$I$101,4,0)</f>
        <v>Senior Staff</v>
      </c>
      <c r="E31" s="2" t="str">
        <f>VLOOKUP(A31,Sheet2!$A$1:$I$101,5,0)</f>
        <v>Female</v>
      </c>
      <c r="F31" s="3">
        <f>VLOOKUP(A31,Sheet2!$A$1:$I$101,6,0)</f>
        <v>41</v>
      </c>
      <c r="G31" s="6">
        <f>VLOOKUP(A31,Sheet2!$A$1:$I$101,7,0)</f>
        <v>14292897</v>
      </c>
      <c r="H31" s="2" t="str">
        <f>VLOOKUP(A31,Sheet2!$A$1:$I$101,8,0)</f>
        <v>2021-07-20</v>
      </c>
      <c r="I31" s="2" t="str">
        <f>VLOOKUP(A31,Sheet2!$A$1:$I$101,9,0)</f>
        <v>Active</v>
      </c>
    </row>
    <row r="32" spans="1:9" x14ac:dyDescent="0.25">
      <c r="A32" s="3">
        <f t="shared" si="0"/>
        <v>31</v>
      </c>
      <c r="B32" s="2" t="s">
        <v>84</v>
      </c>
      <c r="C32" s="2" t="str">
        <f>VLOOKUP(A32,Sheet2!$A$1:$I$101,3,0)</f>
        <v>Finance</v>
      </c>
      <c r="D32" s="2" t="str">
        <f>VLOOKUP(A32,Sheet2!$A$1:$I$101,4,0)</f>
        <v>Senior Staff</v>
      </c>
      <c r="E32" s="2" t="str">
        <f>VLOOKUP(A32,Sheet2!$A$1:$I$101,5,0)</f>
        <v>Male</v>
      </c>
      <c r="F32" s="3">
        <f>VLOOKUP(A32,Sheet2!$A$1:$I$101,6,0)</f>
        <v>42</v>
      </c>
      <c r="G32" s="6">
        <f>VLOOKUP(A32,Sheet2!$A$1:$I$101,7,0)</f>
        <v>13805291</v>
      </c>
      <c r="H32" s="2" t="str">
        <f>VLOOKUP(A32,Sheet2!$A$1:$I$101,8,0)</f>
        <v>2023-11-23</v>
      </c>
      <c r="I32" s="2" t="str">
        <f>VLOOKUP(A32,Sheet2!$A$1:$I$101,9,0)</f>
        <v>Resigned</v>
      </c>
    </row>
    <row r="33" spans="1:9" x14ac:dyDescent="0.25">
      <c r="A33" s="3">
        <f t="shared" si="0"/>
        <v>32</v>
      </c>
      <c r="B33" s="2" t="s">
        <v>86</v>
      </c>
      <c r="C33" s="2" t="str">
        <f>VLOOKUP(A33,Sheet2!$A$1:$I$101,3,0)</f>
        <v>IT</v>
      </c>
      <c r="D33" s="2" t="str">
        <f>VLOOKUP(A33,Sheet2!$A$1:$I$101,4,0)</f>
        <v>Staff</v>
      </c>
      <c r="E33" s="2" t="str">
        <f>VLOOKUP(A33,Sheet2!$A$1:$I$101,5,0)</f>
        <v>Female</v>
      </c>
      <c r="F33" s="3">
        <f>VLOOKUP(A33,Sheet2!$A$1:$I$101,6,0)</f>
        <v>37</v>
      </c>
      <c r="G33" s="6">
        <f>VLOOKUP(A33,Sheet2!$A$1:$I$101,7,0)</f>
        <v>9680247</v>
      </c>
      <c r="H33" s="2" t="str">
        <f>VLOOKUP(A33,Sheet2!$A$1:$I$101,8,0)</f>
        <v>2024-03-09</v>
      </c>
      <c r="I33" s="2" t="str">
        <f>VLOOKUP(A33,Sheet2!$A$1:$I$101,9,0)</f>
        <v>Resigned</v>
      </c>
    </row>
    <row r="34" spans="1:9" x14ac:dyDescent="0.25">
      <c r="A34" s="3">
        <f t="shared" si="0"/>
        <v>33</v>
      </c>
      <c r="B34" s="2" t="s">
        <v>88</v>
      </c>
      <c r="C34" s="2" t="str">
        <f>VLOOKUP(A34,Sheet2!$A$1:$I$101,3,0)</f>
        <v>Marketing</v>
      </c>
      <c r="D34" s="2" t="str">
        <f>VLOOKUP(A34,Sheet2!$A$1:$I$101,4,0)</f>
        <v>Staff</v>
      </c>
      <c r="E34" s="2" t="str">
        <f>VLOOKUP(A34,Sheet2!$A$1:$I$101,5,0)</f>
        <v>Male</v>
      </c>
      <c r="F34" s="3">
        <f>VLOOKUP(A34,Sheet2!$A$1:$I$101,6,0)</f>
        <v>39</v>
      </c>
      <c r="G34" s="6">
        <f>VLOOKUP(A34,Sheet2!$A$1:$I$101,7,0)</f>
        <v>6484491</v>
      </c>
      <c r="H34" s="2" t="str">
        <f>VLOOKUP(A34,Sheet2!$A$1:$I$101,8,0)</f>
        <v>2024-02-21</v>
      </c>
      <c r="I34" s="2" t="str">
        <f>VLOOKUP(A34,Sheet2!$A$1:$I$101,9,0)</f>
        <v>Active</v>
      </c>
    </row>
    <row r="35" spans="1:9" x14ac:dyDescent="0.25">
      <c r="A35" s="3">
        <f t="shared" si="0"/>
        <v>34</v>
      </c>
      <c r="B35" s="2" t="s">
        <v>90</v>
      </c>
      <c r="C35" s="2" t="str">
        <f>VLOOKUP(A35,Sheet2!$A$1:$I$101,3,0)</f>
        <v>Marketing</v>
      </c>
      <c r="D35" s="2" t="str">
        <f>VLOOKUP(A35,Sheet2!$A$1:$I$101,4,0)</f>
        <v>Supervisor</v>
      </c>
      <c r="E35" s="2" t="str">
        <f>VLOOKUP(A35,Sheet2!$A$1:$I$101,5,0)</f>
        <v>Male</v>
      </c>
      <c r="F35" s="3">
        <f>VLOOKUP(A35,Sheet2!$A$1:$I$101,6,0)</f>
        <v>43</v>
      </c>
      <c r="G35" s="6">
        <f>VLOOKUP(A35,Sheet2!$A$1:$I$101,7,0)</f>
        <v>11006009</v>
      </c>
      <c r="H35" s="2" t="str">
        <f>VLOOKUP(A35,Sheet2!$A$1:$I$101,8,0)</f>
        <v>2021-05-26</v>
      </c>
      <c r="I35" s="2" t="str">
        <f>VLOOKUP(A35,Sheet2!$A$1:$I$101,9,0)</f>
        <v>Active</v>
      </c>
    </row>
    <row r="36" spans="1:9" x14ac:dyDescent="0.25">
      <c r="A36" s="3">
        <f t="shared" si="0"/>
        <v>35</v>
      </c>
      <c r="B36" s="2" t="s">
        <v>92</v>
      </c>
      <c r="C36" s="2" t="str">
        <f>VLOOKUP(A36,Sheet2!$A$1:$I$101,3,0)</f>
        <v>Marketing</v>
      </c>
      <c r="D36" s="2" t="str">
        <f>VLOOKUP(A36,Sheet2!$A$1:$I$101,4,0)</f>
        <v>Staff</v>
      </c>
      <c r="E36" s="2" t="str">
        <f>VLOOKUP(A36,Sheet2!$A$1:$I$101,5,0)</f>
        <v>Female</v>
      </c>
      <c r="F36" s="3">
        <f>VLOOKUP(A36,Sheet2!$A$1:$I$101,6,0)</f>
        <v>49</v>
      </c>
      <c r="G36" s="6">
        <f>VLOOKUP(A36,Sheet2!$A$1:$I$101,7,0)</f>
        <v>7744441</v>
      </c>
      <c r="H36" s="2" t="str">
        <f>VLOOKUP(A36,Sheet2!$A$1:$I$101,8,0)</f>
        <v>2021-02-01</v>
      </c>
      <c r="I36" s="2" t="str">
        <f>VLOOKUP(A36,Sheet2!$A$1:$I$101,9,0)</f>
        <v>Resigned</v>
      </c>
    </row>
    <row r="37" spans="1:9" x14ac:dyDescent="0.25">
      <c r="A37" s="3">
        <f t="shared" si="0"/>
        <v>36</v>
      </c>
      <c r="B37" s="2" t="s">
        <v>94</v>
      </c>
      <c r="C37" s="2" t="str">
        <f>VLOOKUP(A37,Sheet2!$A$1:$I$101,3,0)</f>
        <v>Marketing</v>
      </c>
      <c r="D37" s="2" t="str">
        <f>VLOOKUP(A37,Sheet2!$A$1:$I$101,4,0)</f>
        <v>Staff</v>
      </c>
      <c r="E37" s="2" t="str">
        <f>VLOOKUP(A37,Sheet2!$A$1:$I$101,5,0)</f>
        <v>Female</v>
      </c>
      <c r="F37" s="3">
        <f>VLOOKUP(A37,Sheet2!$A$1:$I$101,6,0)</f>
        <v>29</v>
      </c>
      <c r="G37" s="6">
        <f>VLOOKUP(A37,Sheet2!$A$1:$I$101,7,0)</f>
        <v>12608093</v>
      </c>
      <c r="H37" s="2" t="str">
        <f>VLOOKUP(A37,Sheet2!$A$1:$I$101,8,0)</f>
        <v>2024-01-18</v>
      </c>
      <c r="I37" s="2" t="str">
        <f>VLOOKUP(A37,Sheet2!$A$1:$I$101,9,0)</f>
        <v>Active</v>
      </c>
    </row>
    <row r="38" spans="1:9" x14ac:dyDescent="0.25">
      <c r="A38" s="3">
        <f t="shared" si="0"/>
        <v>37</v>
      </c>
      <c r="B38" s="2" t="s">
        <v>96</v>
      </c>
      <c r="C38" s="2" t="str">
        <f>VLOOKUP(A38,Sheet2!$A$1:$I$101,3,0)</f>
        <v>Operations</v>
      </c>
      <c r="D38" s="2" t="str">
        <f>VLOOKUP(A38,Sheet2!$A$1:$I$101,4,0)</f>
        <v>Staff</v>
      </c>
      <c r="E38" s="2" t="str">
        <f>VLOOKUP(A38,Sheet2!$A$1:$I$101,5,0)</f>
        <v>Female</v>
      </c>
      <c r="F38" s="3">
        <f>VLOOKUP(A38,Sheet2!$A$1:$I$101,6,0)</f>
        <v>26</v>
      </c>
      <c r="G38" s="6">
        <f>VLOOKUP(A38,Sheet2!$A$1:$I$101,7,0)</f>
        <v>12590159</v>
      </c>
      <c r="H38" s="2" t="str">
        <f>VLOOKUP(A38,Sheet2!$A$1:$I$101,8,0)</f>
        <v>2021-03-14</v>
      </c>
      <c r="I38" s="2" t="str">
        <f>VLOOKUP(A38,Sheet2!$A$1:$I$101,9,0)</f>
        <v>Resigned</v>
      </c>
    </row>
    <row r="39" spans="1:9" x14ac:dyDescent="0.25">
      <c r="A39" s="3">
        <f t="shared" si="0"/>
        <v>38</v>
      </c>
      <c r="B39" s="2" t="s">
        <v>98</v>
      </c>
      <c r="C39" s="2" t="str">
        <f>VLOOKUP(A39,Sheet2!$A$1:$I$101,3,0)</f>
        <v>Marketing</v>
      </c>
      <c r="D39" s="2" t="str">
        <f>VLOOKUP(A39,Sheet2!$A$1:$I$101,4,0)</f>
        <v>Staff</v>
      </c>
      <c r="E39" s="2" t="str">
        <f>VLOOKUP(A39,Sheet2!$A$1:$I$101,5,0)</f>
        <v>Male</v>
      </c>
      <c r="F39" s="3">
        <f>VLOOKUP(A39,Sheet2!$A$1:$I$101,6,0)</f>
        <v>48</v>
      </c>
      <c r="G39" s="6">
        <f>VLOOKUP(A39,Sheet2!$A$1:$I$101,7,0)</f>
        <v>11595890</v>
      </c>
      <c r="H39" s="2" t="str">
        <f>VLOOKUP(A39,Sheet2!$A$1:$I$101,8,0)</f>
        <v>2025-06-30</v>
      </c>
      <c r="I39" s="2" t="str">
        <f>VLOOKUP(A39,Sheet2!$A$1:$I$101,9,0)</f>
        <v>Resigned</v>
      </c>
    </row>
    <row r="40" spans="1:9" x14ac:dyDescent="0.25">
      <c r="A40" s="3">
        <f t="shared" si="0"/>
        <v>39</v>
      </c>
      <c r="B40" s="2" t="s">
        <v>100</v>
      </c>
      <c r="C40" s="2" t="str">
        <f>VLOOKUP(A40,Sheet2!$A$1:$I$101,3,0)</f>
        <v>HR</v>
      </c>
      <c r="D40" s="2" t="str">
        <f>VLOOKUP(A40,Sheet2!$A$1:$I$101,4,0)</f>
        <v>Manager</v>
      </c>
      <c r="E40" s="2" t="str">
        <f>VLOOKUP(A40,Sheet2!$A$1:$I$101,5,0)</f>
        <v>Female</v>
      </c>
      <c r="F40" s="3">
        <f>VLOOKUP(A40,Sheet2!$A$1:$I$101,6,0)</f>
        <v>38</v>
      </c>
      <c r="G40" s="6">
        <f>VLOOKUP(A40,Sheet2!$A$1:$I$101,7,0)</f>
        <v>9651590</v>
      </c>
      <c r="H40" s="2" t="str">
        <f>VLOOKUP(A40,Sheet2!$A$1:$I$101,8,0)</f>
        <v>2022-10-30</v>
      </c>
      <c r="I40" s="2" t="str">
        <f>VLOOKUP(A40,Sheet2!$A$1:$I$101,9,0)</f>
        <v>Active</v>
      </c>
    </row>
    <row r="41" spans="1:9" x14ac:dyDescent="0.25">
      <c r="A41" s="3">
        <f t="shared" si="0"/>
        <v>40</v>
      </c>
      <c r="B41" s="2" t="s">
        <v>102</v>
      </c>
      <c r="C41" s="2" t="str">
        <f>VLOOKUP(A41,Sheet2!$A$1:$I$101,3,0)</f>
        <v>Finance</v>
      </c>
      <c r="D41" s="2" t="str">
        <f>VLOOKUP(A41,Sheet2!$A$1:$I$101,4,0)</f>
        <v>Manager</v>
      </c>
      <c r="E41" s="2" t="str">
        <f>VLOOKUP(A41,Sheet2!$A$1:$I$101,5,0)</f>
        <v>Male</v>
      </c>
      <c r="F41" s="3">
        <f>VLOOKUP(A41,Sheet2!$A$1:$I$101,6,0)</f>
        <v>42</v>
      </c>
      <c r="G41" s="6">
        <f>VLOOKUP(A41,Sheet2!$A$1:$I$101,7,0)</f>
        <v>13233212</v>
      </c>
      <c r="H41" s="2" t="str">
        <f>VLOOKUP(A41,Sheet2!$A$1:$I$101,8,0)</f>
        <v>2024-05-24</v>
      </c>
      <c r="I41" s="2" t="str">
        <f>VLOOKUP(A41,Sheet2!$A$1:$I$101,9,0)</f>
        <v>Active</v>
      </c>
    </row>
    <row r="42" spans="1:9" x14ac:dyDescent="0.25">
      <c r="A42" s="3">
        <f t="shared" si="0"/>
        <v>41</v>
      </c>
      <c r="B42" s="2" t="s">
        <v>104</v>
      </c>
      <c r="C42" s="2" t="str">
        <f>VLOOKUP(A42,Sheet2!$A$1:$I$101,3,0)</f>
        <v>HR</v>
      </c>
      <c r="D42" s="2" t="str">
        <f>VLOOKUP(A42,Sheet2!$A$1:$I$101,4,0)</f>
        <v>Manager</v>
      </c>
      <c r="E42" s="2" t="str">
        <f>VLOOKUP(A42,Sheet2!$A$1:$I$101,5,0)</f>
        <v>Female</v>
      </c>
      <c r="F42" s="3">
        <f>VLOOKUP(A42,Sheet2!$A$1:$I$101,6,0)</f>
        <v>47</v>
      </c>
      <c r="G42" s="6">
        <f>VLOOKUP(A42,Sheet2!$A$1:$I$101,7,0)</f>
        <v>12724482</v>
      </c>
      <c r="H42" s="2" t="str">
        <f>VLOOKUP(A42,Sheet2!$A$1:$I$101,8,0)</f>
        <v>2023-04-23</v>
      </c>
      <c r="I42" s="2" t="str">
        <f>VLOOKUP(A42,Sheet2!$A$1:$I$101,9,0)</f>
        <v>Active</v>
      </c>
    </row>
    <row r="43" spans="1:9" x14ac:dyDescent="0.25">
      <c r="A43" s="3">
        <f t="shared" si="0"/>
        <v>42</v>
      </c>
      <c r="B43" s="2" t="s">
        <v>106</v>
      </c>
      <c r="C43" s="2" t="str">
        <f>VLOOKUP(A43,Sheet2!$A$1:$I$101,3,0)</f>
        <v>Operations</v>
      </c>
      <c r="D43" s="2" t="str">
        <f>VLOOKUP(A43,Sheet2!$A$1:$I$101,4,0)</f>
        <v>Senior Staff</v>
      </c>
      <c r="E43" s="2" t="str">
        <f>VLOOKUP(A43,Sheet2!$A$1:$I$101,5,0)</f>
        <v>Female</v>
      </c>
      <c r="F43" s="3">
        <f>VLOOKUP(A43,Sheet2!$A$1:$I$101,6,0)</f>
        <v>45</v>
      </c>
      <c r="G43" s="6">
        <f>VLOOKUP(A43,Sheet2!$A$1:$I$101,7,0)</f>
        <v>13224240</v>
      </c>
      <c r="H43" s="2" t="str">
        <f>VLOOKUP(A43,Sheet2!$A$1:$I$101,8,0)</f>
        <v>2021-09-18</v>
      </c>
      <c r="I43" s="2" t="str">
        <f>VLOOKUP(A43,Sheet2!$A$1:$I$101,9,0)</f>
        <v>Active</v>
      </c>
    </row>
    <row r="44" spans="1:9" x14ac:dyDescent="0.25">
      <c r="A44" s="3">
        <f t="shared" si="0"/>
        <v>43</v>
      </c>
      <c r="B44" s="2" t="s">
        <v>108</v>
      </c>
      <c r="C44" s="2" t="str">
        <f>VLOOKUP(A44,Sheet2!$A$1:$I$101,3,0)</f>
        <v>HR</v>
      </c>
      <c r="D44" s="2" t="str">
        <f>VLOOKUP(A44,Sheet2!$A$1:$I$101,4,0)</f>
        <v>Senior Staff</v>
      </c>
      <c r="E44" s="2" t="str">
        <f>VLOOKUP(A44,Sheet2!$A$1:$I$101,5,0)</f>
        <v>Female</v>
      </c>
      <c r="F44" s="3">
        <f>VLOOKUP(A44,Sheet2!$A$1:$I$101,6,0)</f>
        <v>26</v>
      </c>
      <c r="G44" s="6">
        <f>VLOOKUP(A44,Sheet2!$A$1:$I$101,7,0)</f>
        <v>7300380</v>
      </c>
      <c r="H44" s="2" t="str">
        <f>VLOOKUP(A44,Sheet2!$A$1:$I$101,8,0)</f>
        <v>2021-05-07</v>
      </c>
      <c r="I44" s="2" t="str">
        <f>VLOOKUP(A44,Sheet2!$A$1:$I$101,9,0)</f>
        <v>Active</v>
      </c>
    </row>
    <row r="45" spans="1:9" x14ac:dyDescent="0.25">
      <c r="A45" s="3">
        <f t="shared" si="0"/>
        <v>44</v>
      </c>
      <c r="B45" s="2" t="s">
        <v>110</v>
      </c>
      <c r="C45" s="2" t="str">
        <f>VLOOKUP(A45,Sheet2!$A$1:$I$101,3,0)</f>
        <v>HR</v>
      </c>
      <c r="D45" s="2" t="str">
        <f>VLOOKUP(A45,Sheet2!$A$1:$I$101,4,0)</f>
        <v>Manager</v>
      </c>
      <c r="E45" s="2" t="str">
        <f>VLOOKUP(A45,Sheet2!$A$1:$I$101,5,0)</f>
        <v>Male</v>
      </c>
      <c r="F45" s="3">
        <f>VLOOKUP(A45,Sheet2!$A$1:$I$101,6,0)</f>
        <v>25</v>
      </c>
      <c r="G45" s="6">
        <f>VLOOKUP(A45,Sheet2!$A$1:$I$101,7,0)</f>
        <v>6156641</v>
      </c>
      <c r="H45" s="2" t="str">
        <f>VLOOKUP(A45,Sheet2!$A$1:$I$101,8,0)</f>
        <v>2021-06-11</v>
      </c>
      <c r="I45" s="2" t="str">
        <f>VLOOKUP(A45,Sheet2!$A$1:$I$101,9,0)</f>
        <v>Active</v>
      </c>
    </row>
    <row r="46" spans="1:9" x14ac:dyDescent="0.25">
      <c r="A46" s="3">
        <f t="shared" si="0"/>
        <v>45</v>
      </c>
      <c r="B46" s="2" t="s">
        <v>112</v>
      </c>
      <c r="C46" s="2" t="str">
        <f>VLOOKUP(A46,Sheet2!$A$1:$I$101,3,0)</f>
        <v>IT</v>
      </c>
      <c r="D46" s="2" t="str">
        <f>VLOOKUP(A46,Sheet2!$A$1:$I$101,4,0)</f>
        <v>Senior Staff</v>
      </c>
      <c r="E46" s="2" t="str">
        <f>VLOOKUP(A46,Sheet2!$A$1:$I$101,5,0)</f>
        <v>Male</v>
      </c>
      <c r="F46" s="3">
        <f>VLOOKUP(A46,Sheet2!$A$1:$I$101,6,0)</f>
        <v>35</v>
      </c>
      <c r="G46" s="6">
        <f>VLOOKUP(A46,Sheet2!$A$1:$I$101,7,0)</f>
        <v>12398198</v>
      </c>
      <c r="H46" s="2" t="str">
        <f>VLOOKUP(A46,Sheet2!$A$1:$I$101,8,0)</f>
        <v>2022-12-09</v>
      </c>
      <c r="I46" s="2" t="str">
        <f>VLOOKUP(A46,Sheet2!$A$1:$I$101,9,0)</f>
        <v>Active</v>
      </c>
    </row>
    <row r="47" spans="1:9" x14ac:dyDescent="0.25">
      <c r="A47" s="3">
        <f t="shared" si="0"/>
        <v>46</v>
      </c>
      <c r="B47" s="2" t="s">
        <v>114</v>
      </c>
      <c r="C47" s="2" t="str">
        <f>VLOOKUP(A47,Sheet2!$A$1:$I$101,3,0)</f>
        <v>Operations</v>
      </c>
      <c r="D47" s="2" t="str">
        <f>VLOOKUP(A47,Sheet2!$A$1:$I$101,4,0)</f>
        <v>Staff</v>
      </c>
      <c r="E47" s="2" t="str">
        <f>VLOOKUP(A47,Sheet2!$A$1:$I$101,5,0)</f>
        <v>Female</v>
      </c>
      <c r="F47" s="3">
        <f>VLOOKUP(A47,Sheet2!$A$1:$I$101,6,0)</f>
        <v>38</v>
      </c>
      <c r="G47" s="6">
        <f>VLOOKUP(A47,Sheet2!$A$1:$I$101,7,0)</f>
        <v>14922539</v>
      </c>
      <c r="H47" s="2" t="str">
        <f>VLOOKUP(A47,Sheet2!$A$1:$I$101,8,0)</f>
        <v>2024-06-06</v>
      </c>
      <c r="I47" s="2" t="str">
        <f>VLOOKUP(A47,Sheet2!$A$1:$I$101,9,0)</f>
        <v>Active</v>
      </c>
    </row>
    <row r="48" spans="1:9" x14ac:dyDescent="0.25">
      <c r="A48" s="3">
        <f t="shared" si="0"/>
        <v>47</v>
      </c>
      <c r="B48" s="2" t="s">
        <v>116</v>
      </c>
      <c r="C48" s="2" t="str">
        <f>VLOOKUP(A48,Sheet2!$A$1:$I$101,3,0)</f>
        <v>IT</v>
      </c>
      <c r="D48" s="2" t="str">
        <f>VLOOKUP(A48,Sheet2!$A$1:$I$101,4,0)</f>
        <v>Manager</v>
      </c>
      <c r="E48" s="2" t="str">
        <f>VLOOKUP(A48,Sheet2!$A$1:$I$101,5,0)</f>
        <v>Male</v>
      </c>
      <c r="F48" s="3">
        <f>VLOOKUP(A48,Sheet2!$A$1:$I$101,6,0)</f>
        <v>32</v>
      </c>
      <c r="G48" s="6">
        <f>VLOOKUP(A48,Sheet2!$A$1:$I$101,7,0)</f>
        <v>8124088</v>
      </c>
      <c r="H48" s="2" t="str">
        <f>VLOOKUP(A48,Sheet2!$A$1:$I$101,8,0)</f>
        <v>2022-07-31</v>
      </c>
      <c r="I48" s="2" t="str">
        <f>VLOOKUP(A48,Sheet2!$A$1:$I$101,9,0)</f>
        <v>Active</v>
      </c>
    </row>
    <row r="49" spans="1:9" x14ac:dyDescent="0.25">
      <c r="A49" s="3">
        <f t="shared" si="0"/>
        <v>48</v>
      </c>
      <c r="B49" s="2" t="s">
        <v>118</v>
      </c>
      <c r="C49" s="2" t="str">
        <f>VLOOKUP(A49,Sheet2!$A$1:$I$101,3,0)</f>
        <v>Marketing</v>
      </c>
      <c r="D49" s="2" t="str">
        <f>VLOOKUP(A49,Sheet2!$A$1:$I$101,4,0)</f>
        <v>Supervisor</v>
      </c>
      <c r="E49" s="2" t="str">
        <f>VLOOKUP(A49,Sheet2!$A$1:$I$101,5,0)</f>
        <v>Male</v>
      </c>
      <c r="F49" s="3">
        <f>VLOOKUP(A49,Sheet2!$A$1:$I$101,6,0)</f>
        <v>44</v>
      </c>
      <c r="G49" s="6">
        <f>VLOOKUP(A49,Sheet2!$A$1:$I$101,7,0)</f>
        <v>6602125</v>
      </c>
      <c r="H49" s="2" t="str">
        <f>VLOOKUP(A49,Sheet2!$A$1:$I$101,8,0)</f>
        <v>2025-06-04</v>
      </c>
      <c r="I49" s="2" t="str">
        <f>VLOOKUP(A49,Sheet2!$A$1:$I$101,9,0)</f>
        <v>Active</v>
      </c>
    </row>
    <row r="50" spans="1:9" x14ac:dyDescent="0.25">
      <c r="A50" s="3">
        <f t="shared" si="0"/>
        <v>49</v>
      </c>
      <c r="B50" s="2" t="s">
        <v>120</v>
      </c>
      <c r="C50" s="2" t="str">
        <f>VLOOKUP(A50,Sheet2!$A$1:$I$101,3,0)</f>
        <v>Marketing</v>
      </c>
      <c r="D50" s="2" t="str">
        <f>VLOOKUP(A50,Sheet2!$A$1:$I$101,4,0)</f>
        <v>Supervisor</v>
      </c>
      <c r="E50" s="2" t="str">
        <f>VLOOKUP(A50,Sheet2!$A$1:$I$101,5,0)</f>
        <v>Male</v>
      </c>
      <c r="F50" s="3">
        <f>VLOOKUP(A50,Sheet2!$A$1:$I$101,6,0)</f>
        <v>41</v>
      </c>
      <c r="G50" s="6">
        <f>VLOOKUP(A50,Sheet2!$A$1:$I$101,7,0)</f>
        <v>11710348</v>
      </c>
      <c r="H50" s="2" t="str">
        <f>VLOOKUP(A50,Sheet2!$A$1:$I$101,8,0)</f>
        <v>2024-03-22</v>
      </c>
      <c r="I50" s="2" t="str">
        <f>VLOOKUP(A50,Sheet2!$A$1:$I$101,9,0)</f>
        <v>Active</v>
      </c>
    </row>
    <row r="51" spans="1:9" x14ac:dyDescent="0.25">
      <c r="A51" s="3">
        <f t="shared" si="0"/>
        <v>50</v>
      </c>
      <c r="B51" s="2" t="s">
        <v>122</v>
      </c>
      <c r="C51" s="2" t="str">
        <f>VLOOKUP(A51,Sheet2!$A$1:$I$101,3,0)</f>
        <v>IT</v>
      </c>
      <c r="D51" s="2" t="str">
        <f>VLOOKUP(A51,Sheet2!$A$1:$I$101,4,0)</f>
        <v>Manager</v>
      </c>
      <c r="E51" s="2" t="str">
        <f>VLOOKUP(A51,Sheet2!$A$1:$I$101,5,0)</f>
        <v>Male</v>
      </c>
      <c r="F51" s="3">
        <f>VLOOKUP(A51,Sheet2!$A$1:$I$101,6,0)</f>
        <v>43</v>
      </c>
      <c r="G51" s="6">
        <f>VLOOKUP(A51,Sheet2!$A$1:$I$101,7,0)</f>
        <v>6752345</v>
      </c>
      <c r="H51" s="2" t="str">
        <f>VLOOKUP(A51,Sheet2!$A$1:$I$101,8,0)</f>
        <v>2023-09-30</v>
      </c>
      <c r="I51" s="2" t="str">
        <f>VLOOKUP(A51,Sheet2!$A$1:$I$101,9,0)</f>
        <v>Active</v>
      </c>
    </row>
    <row r="52" spans="1:9" x14ac:dyDescent="0.25">
      <c r="A52" s="3">
        <f t="shared" si="0"/>
        <v>51</v>
      </c>
      <c r="B52" s="2" t="s">
        <v>124</v>
      </c>
      <c r="C52" s="2" t="str">
        <f>VLOOKUP(A52,Sheet2!$A$1:$I$101,3,0)</f>
        <v>Marketing</v>
      </c>
      <c r="D52" s="2" t="str">
        <f>VLOOKUP(A52,Sheet2!$A$1:$I$101,4,0)</f>
        <v>Manager</v>
      </c>
      <c r="E52" s="2" t="str">
        <f>VLOOKUP(A52,Sheet2!$A$1:$I$101,5,0)</f>
        <v>Male</v>
      </c>
      <c r="F52" s="3">
        <f>VLOOKUP(A52,Sheet2!$A$1:$I$101,6,0)</f>
        <v>42</v>
      </c>
      <c r="G52" s="6">
        <f>VLOOKUP(A52,Sheet2!$A$1:$I$101,7,0)</f>
        <v>13579628</v>
      </c>
      <c r="H52" s="2" t="str">
        <f>VLOOKUP(A52,Sheet2!$A$1:$I$101,8,0)</f>
        <v>2024-11-07</v>
      </c>
      <c r="I52" s="2" t="str">
        <f>VLOOKUP(A52,Sheet2!$A$1:$I$101,9,0)</f>
        <v>Resigned</v>
      </c>
    </row>
    <row r="53" spans="1:9" x14ac:dyDescent="0.25">
      <c r="A53" s="3">
        <f t="shared" si="0"/>
        <v>52</v>
      </c>
      <c r="B53" s="2" t="s">
        <v>126</v>
      </c>
      <c r="C53" s="2" t="str">
        <f>VLOOKUP(A53,Sheet2!$A$1:$I$101,3,0)</f>
        <v>Operations</v>
      </c>
      <c r="D53" s="2" t="str">
        <f>VLOOKUP(A53,Sheet2!$A$1:$I$101,4,0)</f>
        <v>Staff</v>
      </c>
      <c r="E53" s="2" t="str">
        <f>VLOOKUP(A53,Sheet2!$A$1:$I$101,5,0)</f>
        <v>Male</v>
      </c>
      <c r="F53" s="3">
        <f>VLOOKUP(A53,Sheet2!$A$1:$I$101,6,0)</f>
        <v>31</v>
      </c>
      <c r="G53" s="6">
        <f>VLOOKUP(A53,Sheet2!$A$1:$I$101,7,0)</f>
        <v>13077939</v>
      </c>
      <c r="H53" s="2" t="str">
        <f>VLOOKUP(A53,Sheet2!$A$1:$I$101,8,0)</f>
        <v>2026-01-03</v>
      </c>
      <c r="I53" s="2" t="str">
        <f>VLOOKUP(A53,Sheet2!$A$1:$I$101,9,0)</f>
        <v>Active</v>
      </c>
    </row>
    <row r="54" spans="1:9" x14ac:dyDescent="0.25">
      <c r="A54" s="3">
        <f t="shared" si="0"/>
        <v>53</v>
      </c>
      <c r="B54" s="2" t="s">
        <v>128</v>
      </c>
      <c r="C54" s="2" t="str">
        <f>VLOOKUP(A54,Sheet2!$A$1:$I$101,3,0)</f>
        <v>Finance</v>
      </c>
      <c r="D54" s="2" t="str">
        <f>VLOOKUP(A54,Sheet2!$A$1:$I$101,4,0)</f>
        <v>Supervisor</v>
      </c>
      <c r="E54" s="2" t="str">
        <f>VLOOKUP(A54,Sheet2!$A$1:$I$101,5,0)</f>
        <v>Male</v>
      </c>
      <c r="F54" s="3">
        <f>VLOOKUP(A54,Sheet2!$A$1:$I$101,6,0)</f>
        <v>34</v>
      </c>
      <c r="G54" s="6">
        <f>VLOOKUP(A54,Sheet2!$A$1:$I$101,7,0)</f>
        <v>5738705</v>
      </c>
      <c r="H54" s="2" t="str">
        <f>VLOOKUP(A54,Sheet2!$A$1:$I$101,8,0)</f>
        <v>2022-03-08</v>
      </c>
      <c r="I54" s="2" t="str">
        <f>VLOOKUP(A54,Sheet2!$A$1:$I$101,9,0)</f>
        <v>Active</v>
      </c>
    </row>
    <row r="55" spans="1:9" x14ac:dyDescent="0.25">
      <c r="A55" s="3">
        <f t="shared" si="0"/>
        <v>54</v>
      </c>
      <c r="B55" s="2" t="s">
        <v>130</v>
      </c>
      <c r="C55" s="2" t="str">
        <f>VLOOKUP(A55,Sheet2!$A$1:$I$101,3,0)</f>
        <v>Marketing</v>
      </c>
      <c r="D55" s="2" t="str">
        <f>VLOOKUP(A55,Sheet2!$A$1:$I$101,4,0)</f>
        <v>Supervisor</v>
      </c>
      <c r="E55" s="2" t="str">
        <f>VLOOKUP(A55,Sheet2!$A$1:$I$101,5,0)</f>
        <v>Male</v>
      </c>
      <c r="F55" s="3">
        <f>VLOOKUP(A55,Sheet2!$A$1:$I$101,6,0)</f>
        <v>46</v>
      </c>
      <c r="G55" s="6">
        <f>VLOOKUP(A55,Sheet2!$A$1:$I$101,7,0)</f>
        <v>7248589</v>
      </c>
      <c r="H55" s="2" t="str">
        <f>VLOOKUP(A55,Sheet2!$A$1:$I$101,8,0)</f>
        <v>2023-05-02</v>
      </c>
      <c r="I55" s="2" t="str">
        <f>VLOOKUP(A55,Sheet2!$A$1:$I$101,9,0)</f>
        <v>Active</v>
      </c>
    </row>
    <row r="56" spans="1:9" x14ac:dyDescent="0.25">
      <c r="A56" s="3">
        <f t="shared" si="0"/>
        <v>55</v>
      </c>
      <c r="B56" s="2" t="s">
        <v>132</v>
      </c>
      <c r="C56" s="2" t="str">
        <f>VLOOKUP(A56,Sheet2!$A$1:$I$101,3,0)</f>
        <v>Operations</v>
      </c>
      <c r="D56" s="2" t="str">
        <f>VLOOKUP(A56,Sheet2!$A$1:$I$101,4,0)</f>
        <v>Supervisor</v>
      </c>
      <c r="E56" s="2" t="str">
        <f>VLOOKUP(A56,Sheet2!$A$1:$I$101,5,0)</f>
        <v>Male</v>
      </c>
      <c r="F56" s="3">
        <f>VLOOKUP(A56,Sheet2!$A$1:$I$101,6,0)</f>
        <v>40</v>
      </c>
      <c r="G56" s="6">
        <f>VLOOKUP(A56,Sheet2!$A$1:$I$101,7,0)</f>
        <v>10733213</v>
      </c>
      <c r="H56" s="2" t="str">
        <f>VLOOKUP(A56,Sheet2!$A$1:$I$101,8,0)</f>
        <v>2023-05-09</v>
      </c>
      <c r="I56" s="2" t="str">
        <f>VLOOKUP(A56,Sheet2!$A$1:$I$101,9,0)</f>
        <v>Active</v>
      </c>
    </row>
    <row r="57" spans="1:9" x14ac:dyDescent="0.25">
      <c r="A57" s="3">
        <f t="shared" si="0"/>
        <v>56</v>
      </c>
      <c r="B57" s="2" t="s">
        <v>88</v>
      </c>
      <c r="C57" s="2" t="str">
        <f>VLOOKUP(A57,Sheet2!$A$1:$I$101,3,0)</f>
        <v>Marketing</v>
      </c>
      <c r="D57" s="2" t="str">
        <f>VLOOKUP(A57,Sheet2!$A$1:$I$101,4,0)</f>
        <v>Senior Staff</v>
      </c>
      <c r="E57" s="2" t="str">
        <f>VLOOKUP(A57,Sheet2!$A$1:$I$101,5,0)</f>
        <v>Female</v>
      </c>
      <c r="F57" s="3">
        <f>VLOOKUP(A57,Sheet2!$A$1:$I$101,6,0)</f>
        <v>54</v>
      </c>
      <c r="G57" s="6">
        <f>VLOOKUP(A57,Sheet2!$A$1:$I$101,7,0)</f>
        <v>8672272</v>
      </c>
      <c r="H57" s="2" t="str">
        <f>VLOOKUP(A57,Sheet2!$A$1:$I$101,8,0)</f>
        <v>2023-07-24</v>
      </c>
      <c r="I57" s="2" t="str">
        <f>VLOOKUP(A57,Sheet2!$A$1:$I$101,9,0)</f>
        <v>Active</v>
      </c>
    </row>
    <row r="58" spans="1:9" x14ac:dyDescent="0.25">
      <c r="A58" s="3">
        <f t="shared" si="0"/>
        <v>57</v>
      </c>
      <c r="B58" s="2" t="s">
        <v>135</v>
      </c>
      <c r="C58" s="2" t="str">
        <f>VLOOKUP(A58,Sheet2!$A$1:$I$101,3,0)</f>
        <v>HR</v>
      </c>
      <c r="D58" s="2" t="str">
        <f>VLOOKUP(A58,Sheet2!$A$1:$I$101,4,0)</f>
        <v>Staff</v>
      </c>
      <c r="E58" s="2" t="str">
        <f>VLOOKUP(A58,Sheet2!$A$1:$I$101,5,0)</f>
        <v>Male</v>
      </c>
      <c r="F58" s="3">
        <f>VLOOKUP(A58,Sheet2!$A$1:$I$101,6,0)</f>
        <v>42</v>
      </c>
      <c r="G58" s="6">
        <f>VLOOKUP(A58,Sheet2!$A$1:$I$101,7,0)</f>
        <v>7561099</v>
      </c>
      <c r="H58" s="2" t="str">
        <f>VLOOKUP(A58,Sheet2!$A$1:$I$101,8,0)</f>
        <v>2021-06-01</v>
      </c>
      <c r="I58" s="2" t="str">
        <f>VLOOKUP(A58,Sheet2!$A$1:$I$101,9,0)</f>
        <v>Active</v>
      </c>
    </row>
    <row r="59" spans="1:9" x14ac:dyDescent="0.25">
      <c r="A59" s="3">
        <f t="shared" si="0"/>
        <v>58</v>
      </c>
      <c r="B59" s="2" t="s">
        <v>137</v>
      </c>
      <c r="C59" s="2" t="str">
        <f>VLOOKUP(A59,Sheet2!$A$1:$I$101,3,0)</f>
        <v>Finance</v>
      </c>
      <c r="D59" s="2" t="str">
        <f>VLOOKUP(A59,Sheet2!$A$1:$I$101,4,0)</f>
        <v>Manager</v>
      </c>
      <c r="E59" s="2" t="str">
        <f>VLOOKUP(A59,Sheet2!$A$1:$I$101,5,0)</f>
        <v>Female</v>
      </c>
      <c r="F59" s="3">
        <f>VLOOKUP(A59,Sheet2!$A$1:$I$101,6,0)</f>
        <v>24</v>
      </c>
      <c r="G59" s="6">
        <f>VLOOKUP(A59,Sheet2!$A$1:$I$101,7,0)</f>
        <v>8379618</v>
      </c>
      <c r="H59" s="2" t="str">
        <f>VLOOKUP(A59,Sheet2!$A$1:$I$101,8,0)</f>
        <v>2022-10-19</v>
      </c>
      <c r="I59" s="2" t="str">
        <f>VLOOKUP(A59,Sheet2!$A$1:$I$101,9,0)</f>
        <v>Active</v>
      </c>
    </row>
    <row r="60" spans="1:9" x14ac:dyDescent="0.25">
      <c r="A60" s="3">
        <f t="shared" si="0"/>
        <v>59</v>
      </c>
      <c r="B60" s="2" t="s">
        <v>139</v>
      </c>
      <c r="C60" s="2" t="str">
        <f>VLOOKUP(A60,Sheet2!$A$1:$I$101,3,0)</f>
        <v>Operations</v>
      </c>
      <c r="D60" s="2" t="str">
        <f>VLOOKUP(A60,Sheet2!$A$1:$I$101,4,0)</f>
        <v>Supervisor</v>
      </c>
      <c r="E60" s="2" t="str">
        <f>VLOOKUP(A60,Sheet2!$A$1:$I$101,5,0)</f>
        <v>Female</v>
      </c>
      <c r="F60" s="3">
        <f>VLOOKUP(A60,Sheet2!$A$1:$I$101,6,0)</f>
        <v>39</v>
      </c>
      <c r="G60" s="6">
        <f>VLOOKUP(A60,Sheet2!$A$1:$I$101,7,0)</f>
        <v>13181260</v>
      </c>
      <c r="H60" s="2" t="str">
        <f>VLOOKUP(A60,Sheet2!$A$1:$I$101,8,0)</f>
        <v>2022-09-29</v>
      </c>
      <c r="I60" s="2" t="str">
        <f>VLOOKUP(A60,Sheet2!$A$1:$I$101,9,0)</f>
        <v>Active</v>
      </c>
    </row>
    <row r="61" spans="1:9" x14ac:dyDescent="0.25">
      <c r="A61" s="3">
        <f t="shared" si="0"/>
        <v>60</v>
      </c>
      <c r="B61" s="2" t="s">
        <v>141</v>
      </c>
      <c r="C61" s="2" t="str">
        <f>VLOOKUP(A61,Sheet2!$A$1:$I$101,3,0)</f>
        <v>HR</v>
      </c>
      <c r="D61" s="2" t="str">
        <f>VLOOKUP(A61,Sheet2!$A$1:$I$101,4,0)</f>
        <v>Supervisor</v>
      </c>
      <c r="E61" s="2" t="str">
        <f>VLOOKUP(A61,Sheet2!$A$1:$I$101,5,0)</f>
        <v>Male</v>
      </c>
      <c r="F61" s="3">
        <f>VLOOKUP(A61,Sheet2!$A$1:$I$101,6,0)</f>
        <v>46</v>
      </c>
      <c r="G61" s="6">
        <f>VLOOKUP(A61,Sheet2!$A$1:$I$101,7,0)</f>
        <v>12283554</v>
      </c>
      <c r="H61" s="2" t="str">
        <f>VLOOKUP(A61,Sheet2!$A$1:$I$101,8,0)</f>
        <v>2025-08-09</v>
      </c>
      <c r="I61" s="2" t="str">
        <f>VLOOKUP(A61,Sheet2!$A$1:$I$101,9,0)</f>
        <v>Active</v>
      </c>
    </row>
    <row r="62" spans="1:9" x14ac:dyDescent="0.25">
      <c r="A62" s="3">
        <f t="shared" si="0"/>
        <v>61</v>
      </c>
      <c r="B62" s="2" t="s">
        <v>143</v>
      </c>
      <c r="C62" s="2" t="str">
        <f>VLOOKUP(A62,Sheet2!$A$1:$I$101,3,0)</f>
        <v>HR</v>
      </c>
      <c r="D62" s="2" t="str">
        <f>VLOOKUP(A62,Sheet2!$A$1:$I$101,4,0)</f>
        <v>Supervisor</v>
      </c>
      <c r="E62" s="2" t="str">
        <f>VLOOKUP(A62,Sheet2!$A$1:$I$101,5,0)</f>
        <v>Female</v>
      </c>
      <c r="F62" s="3">
        <f>VLOOKUP(A62,Sheet2!$A$1:$I$101,6,0)</f>
        <v>37</v>
      </c>
      <c r="G62" s="6">
        <f>VLOOKUP(A62,Sheet2!$A$1:$I$101,7,0)</f>
        <v>6174412</v>
      </c>
      <c r="H62" s="2" t="str">
        <f>VLOOKUP(A62,Sheet2!$A$1:$I$101,8,0)</f>
        <v>2022-11-24</v>
      </c>
      <c r="I62" s="2" t="str">
        <f>VLOOKUP(A62,Sheet2!$A$1:$I$101,9,0)</f>
        <v>Active</v>
      </c>
    </row>
    <row r="63" spans="1:9" x14ac:dyDescent="0.25">
      <c r="A63" s="3">
        <f t="shared" si="0"/>
        <v>62</v>
      </c>
      <c r="B63" s="2" t="s">
        <v>98</v>
      </c>
      <c r="C63" s="2" t="str">
        <f>VLOOKUP(A63,Sheet2!$A$1:$I$101,3,0)</f>
        <v>Marketing</v>
      </c>
      <c r="D63" s="2" t="str">
        <f>VLOOKUP(A63,Sheet2!$A$1:$I$101,4,0)</f>
        <v>Staff</v>
      </c>
      <c r="E63" s="2" t="str">
        <f>VLOOKUP(A63,Sheet2!$A$1:$I$101,5,0)</f>
        <v>Male</v>
      </c>
      <c r="F63" s="3">
        <f>VLOOKUP(A63,Sheet2!$A$1:$I$101,6,0)</f>
        <v>30</v>
      </c>
      <c r="G63" s="6">
        <f>VLOOKUP(A63,Sheet2!$A$1:$I$101,7,0)</f>
        <v>8537574</v>
      </c>
      <c r="H63" s="2" t="str">
        <f>VLOOKUP(A63,Sheet2!$A$1:$I$101,8,0)</f>
        <v>2025-09-09</v>
      </c>
      <c r="I63" s="2" t="str">
        <f>VLOOKUP(A63,Sheet2!$A$1:$I$101,9,0)</f>
        <v>Active</v>
      </c>
    </row>
    <row r="64" spans="1:9" x14ac:dyDescent="0.25">
      <c r="A64" s="3">
        <f t="shared" si="0"/>
        <v>63</v>
      </c>
      <c r="B64" s="2" t="s">
        <v>146</v>
      </c>
      <c r="C64" s="2" t="str">
        <f>VLOOKUP(A64,Sheet2!$A$1:$I$101,3,0)</f>
        <v>IT</v>
      </c>
      <c r="D64" s="2" t="str">
        <f>VLOOKUP(A64,Sheet2!$A$1:$I$101,4,0)</f>
        <v>Supervisor</v>
      </c>
      <c r="E64" s="2" t="str">
        <f>VLOOKUP(A64,Sheet2!$A$1:$I$101,5,0)</f>
        <v>Female</v>
      </c>
      <c r="F64" s="3">
        <f>VLOOKUP(A64,Sheet2!$A$1:$I$101,6,0)</f>
        <v>48</v>
      </c>
      <c r="G64" s="6">
        <f>VLOOKUP(A64,Sheet2!$A$1:$I$101,7,0)</f>
        <v>12086574</v>
      </c>
      <c r="H64" s="2" t="str">
        <f>VLOOKUP(A64,Sheet2!$A$1:$I$101,8,0)</f>
        <v>2026-02-12</v>
      </c>
      <c r="I64" s="2" t="str">
        <f>VLOOKUP(A64,Sheet2!$A$1:$I$101,9,0)</f>
        <v>Resigned</v>
      </c>
    </row>
    <row r="65" spans="1:9" x14ac:dyDescent="0.25">
      <c r="A65" s="3">
        <f t="shared" si="0"/>
        <v>64</v>
      </c>
      <c r="B65" s="2" t="s">
        <v>148</v>
      </c>
      <c r="C65" s="2" t="str">
        <f>VLOOKUP(A65,Sheet2!$A$1:$I$101,3,0)</f>
        <v>Marketing</v>
      </c>
      <c r="D65" s="2" t="str">
        <f>VLOOKUP(A65,Sheet2!$A$1:$I$101,4,0)</f>
        <v>Staff</v>
      </c>
      <c r="E65" s="2" t="str">
        <f>VLOOKUP(A65,Sheet2!$A$1:$I$101,5,0)</f>
        <v>Male</v>
      </c>
      <c r="F65" s="3">
        <f>VLOOKUP(A65,Sheet2!$A$1:$I$101,6,0)</f>
        <v>32</v>
      </c>
      <c r="G65" s="6">
        <f>VLOOKUP(A65,Sheet2!$A$1:$I$101,7,0)</f>
        <v>5738506</v>
      </c>
      <c r="H65" s="2" t="str">
        <f>VLOOKUP(A65,Sheet2!$A$1:$I$101,8,0)</f>
        <v>2022-04-25</v>
      </c>
      <c r="I65" s="2" t="str">
        <f>VLOOKUP(A65,Sheet2!$A$1:$I$101,9,0)</f>
        <v>Active</v>
      </c>
    </row>
    <row r="66" spans="1:9" x14ac:dyDescent="0.25">
      <c r="A66" s="3">
        <f t="shared" si="0"/>
        <v>65</v>
      </c>
      <c r="B66" s="2" t="s">
        <v>150</v>
      </c>
      <c r="C66" s="2" t="str">
        <f>VLOOKUP(A66,Sheet2!$A$1:$I$101,3,0)</f>
        <v>HR</v>
      </c>
      <c r="D66" s="2" t="str">
        <f>VLOOKUP(A66,Sheet2!$A$1:$I$101,4,0)</f>
        <v>Supervisor</v>
      </c>
      <c r="E66" s="2" t="str">
        <f>VLOOKUP(A66,Sheet2!$A$1:$I$101,5,0)</f>
        <v>Female</v>
      </c>
      <c r="F66" s="3">
        <f>VLOOKUP(A66,Sheet2!$A$1:$I$101,6,0)</f>
        <v>25</v>
      </c>
      <c r="G66" s="6">
        <f>VLOOKUP(A66,Sheet2!$A$1:$I$101,7,0)</f>
        <v>9559331</v>
      </c>
      <c r="H66" s="2" t="str">
        <f>VLOOKUP(A66,Sheet2!$A$1:$I$101,8,0)</f>
        <v>2025-06-05</v>
      </c>
      <c r="I66" s="2" t="str">
        <f>VLOOKUP(A66,Sheet2!$A$1:$I$101,9,0)</f>
        <v>Active</v>
      </c>
    </row>
    <row r="67" spans="1:9" x14ac:dyDescent="0.25">
      <c r="A67" s="3">
        <f t="shared" ref="A67:A101" si="1">ROW()-1</f>
        <v>66</v>
      </c>
      <c r="B67" s="2" t="s">
        <v>152</v>
      </c>
      <c r="C67" s="2" t="str">
        <f>VLOOKUP(A67,Sheet2!$A$1:$I$101,3,0)</f>
        <v>IT</v>
      </c>
      <c r="D67" s="2" t="str">
        <f>VLOOKUP(A67,Sheet2!$A$1:$I$101,4,0)</f>
        <v>Supervisor</v>
      </c>
      <c r="E67" s="2" t="str">
        <f>VLOOKUP(A67,Sheet2!$A$1:$I$101,5,0)</f>
        <v>Female</v>
      </c>
      <c r="F67" s="3">
        <f>VLOOKUP(A67,Sheet2!$A$1:$I$101,6,0)</f>
        <v>52</v>
      </c>
      <c r="G67" s="6">
        <f>VLOOKUP(A67,Sheet2!$A$1:$I$101,7,0)</f>
        <v>9178757</v>
      </c>
      <c r="H67" s="2" t="str">
        <f>VLOOKUP(A67,Sheet2!$A$1:$I$101,8,0)</f>
        <v>2023-07-16</v>
      </c>
      <c r="I67" s="2" t="str">
        <f>VLOOKUP(A67,Sheet2!$A$1:$I$101,9,0)</f>
        <v>Active</v>
      </c>
    </row>
    <row r="68" spans="1:9" x14ac:dyDescent="0.25">
      <c r="A68" s="3">
        <f t="shared" si="1"/>
        <v>67</v>
      </c>
      <c r="B68" s="2" t="s">
        <v>154</v>
      </c>
      <c r="C68" s="2" t="str">
        <f>VLOOKUP(A68,Sheet2!$A$1:$I$101,3,0)</f>
        <v>Operations</v>
      </c>
      <c r="D68" s="2" t="str">
        <f>VLOOKUP(A68,Sheet2!$A$1:$I$101,4,0)</f>
        <v>Senior Staff</v>
      </c>
      <c r="E68" s="2" t="str">
        <f>VLOOKUP(A68,Sheet2!$A$1:$I$101,5,0)</f>
        <v>Female</v>
      </c>
      <c r="F68" s="3">
        <f>VLOOKUP(A68,Sheet2!$A$1:$I$101,6,0)</f>
        <v>40</v>
      </c>
      <c r="G68" s="6">
        <f>VLOOKUP(A68,Sheet2!$A$1:$I$101,7,0)</f>
        <v>7762754</v>
      </c>
      <c r="H68" s="2" t="str">
        <f>VLOOKUP(A68,Sheet2!$A$1:$I$101,8,0)</f>
        <v>2021-09-03</v>
      </c>
      <c r="I68" s="2" t="str">
        <f>VLOOKUP(A68,Sheet2!$A$1:$I$101,9,0)</f>
        <v>Active</v>
      </c>
    </row>
    <row r="69" spans="1:9" x14ac:dyDescent="0.25">
      <c r="A69" s="3">
        <f t="shared" si="1"/>
        <v>68</v>
      </c>
      <c r="B69" s="2" t="s">
        <v>62</v>
      </c>
      <c r="C69" s="2" t="str">
        <f>VLOOKUP(A69,Sheet2!$A$1:$I$101,3,0)</f>
        <v>Finance</v>
      </c>
      <c r="D69" s="2" t="str">
        <f>VLOOKUP(A69,Sheet2!$A$1:$I$101,4,0)</f>
        <v>Manager</v>
      </c>
      <c r="E69" s="2" t="str">
        <f>VLOOKUP(A69,Sheet2!$A$1:$I$101,5,0)</f>
        <v>Male</v>
      </c>
      <c r="F69" s="3">
        <f>VLOOKUP(A69,Sheet2!$A$1:$I$101,6,0)</f>
        <v>41</v>
      </c>
      <c r="G69" s="6">
        <f>VLOOKUP(A69,Sheet2!$A$1:$I$101,7,0)</f>
        <v>6751359</v>
      </c>
      <c r="H69" s="2" t="str">
        <f>VLOOKUP(A69,Sheet2!$A$1:$I$101,8,0)</f>
        <v>2024-05-24</v>
      </c>
      <c r="I69" s="2" t="str">
        <f>VLOOKUP(A69,Sheet2!$A$1:$I$101,9,0)</f>
        <v>Active</v>
      </c>
    </row>
    <row r="70" spans="1:9" x14ac:dyDescent="0.25">
      <c r="A70" s="3">
        <f t="shared" si="1"/>
        <v>69</v>
      </c>
      <c r="B70" s="2" t="s">
        <v>38</v>
      </c>
      <c r="C70" s="2" t="str">
        <f>VLOOKUP(A70,Sheet2!$A$1:$I$101,3,0)</f>
        <v>Finance</v>
      </c>
      <c r="D70" s="2" t="str">
        <f>VLOOKUP(A70,Sheet2!$A$1:$I$101,4,0)</f>
        <v>Senior Staff</v>
      </c>
      <c r="E70" s="2" t="str">
        <f>VLOOKUP(A70,Sheet2!$A$1:$I$101,5,0)</f>
        <v>Female</v>
      </c>
      <c r="F70" s="3">
        <f>VLOOKUP(A70,Sheet2!$A$1:$I$101,6,0)</f>
        <v>49</v>
      </c>
      <c r="G70" s="6">
        <f>VLOOKUP(A70,Sheet2!$A$1:$I$101,7,0)</f>
        <v>7279672</v>
      </c>
      <c r="H70" s="2" t="str">
        <f>VLOOKUP(A70,Sheet2!$A$1:$I$101,8,0)</f>
        <v>2022-06-06</v>
      </c>
      <c r="I70" s="2" t="str">
        <f>VLOOKUP(A70,Sheet2!$A$1:$I$101,9,0)</f>
        <v>Active</v>
      </c>
    </row>
    <row r="71" spans="1:9" x14ac:dyDescent="0.25">
      <c r="A71" s="3">
        <f t="shared" si="1"/>
        <v>70</v>
      </c>
      <c r="B71" s="2" t="s">
        <v>157</v>
      </c>
      <c r="C71" s="2" t="str">
        <f>VLOOKUP(A71,Sheet2!$A$1:$I$101,3,0)</f>
        <v>Finance</v>
      </c>
      <c r="D71" s="2" t="str">
        <f>VLOOKUP(A71,Sheet2!$A$1:$I$101,4,0)</f>
        <v>Manager</v>
      </c>
      <c r="E71" s="2" t="str">
        <f>VLOOKUP(A71,Sheet2!$A$1:$I$101,5,0)</f>
        <v>Male</v>
      </c>
      <c r="F71" s="3">
        <f>VLOOKUP(A71,Sheet2!$A$1:$I$101,6,0)</f>
        <v>35</v>
      </c>
      <c r="G71" s="6">
        <f>VLOOKUP(A71,Sheet2!$A$1:$I$101,7,0)</f>
        <v>6146527</v>
      </c>
      <c r="H71" s="2" t="str">
        <f>VLOOKUP(A71,Sheet2!$A$1:$I$101,8,0)</f>
        <v>2022-12-09</v>
      </c>
      <c r="I71" s="2" t="str">
        <f>VLOOKUP(A71,Sheet2!$A$1:$I$101,9,0)</f>
        <v>Resigned</v>
      </c>
    </row>
    <row r="72" spans="1:9" x14ac:dyDescent="0.25">
      <c r="A72" s="3">
        <f t="shared" si="1"/>
        <v>71</v>
      </c>
      <c r="B72" s="2" t="s">
        <v>158</v>
      </c>
      <c r="C72" s="2" t="str">
        <f>VLOOKUP(A72,Sheet2!$A$1:$I$101,3,0)</f>
        <v>Finance</v>
      </c>
      <c r="D72" s="2" t="str">
        <f>VLOOKUP(A72,Sheet2!$A$1:$I$101,4,0)</f>
        <v>Staff</v>
      </c>
      <c r="E72" s="2" t="str">
        <f>VLOOKUP(A72,Sheet2!$A$1:$I$101,5,0)</f>
        <v>Female</v>
      </c>
      <c r="F72" s="3">
        <f>VLOOKUP(A72,Sheet2!$A$1:$I$101,6,0)</f>
        <v>33</v>
      </c>
      <c r="G72" s="6">
        <f>VLOOKUP(A72,Sheet2!$A$1:$I$101,7,0)</f>
        <v>4351307</v>
      </c>
      <c r="H72" s="2" t="str">
        <f>VLOOKUP(A72,Sheet2!$A$1:$I$101,8,0)</f>
        <v>2025-06-10</v>
      </c>
      <c r="I72" s="2" t="str">
        <f>VLOOKUP(A72,Sheet2!$A$1:$I$101,9,0)</f>
        <v>Active</v>
      </c>
    </row>
    <row r="73" spans="1:9" x14ac:dyDescent="0.25">
      <c r="A73" s="3">
        <f t="shared" si="1"/>
        <v>72</v>
      </c>
      <c r="B73" s="2" t="s">
        <v>160</v>
      </c>
      <c r="C73" s="2" t="str">
        <f>VLOOKUP(A73,Sheet2!$A$1:$I$101,3,0)</f>
        <v>Finance</v>
      </c>
      <c r="D73" s="2" t="str">
        <f>VLOOKUP(A73,Sheet2!$A$1:$I$101,4,0)</f>
        <v>Senior Staff</v>
      </c>
      <c r="E73" s="2" t="str">
        <f>VLOOKUP(A73,Sheet2!$A$1:$I$101,5,0)</f>
        <v>Male</v>
      </c>
      <c r="F73" s="3">
        <f>VLOOKUP(A73,Sheet2!$A$1:$I$101,6,0)</f>
        <v>35</v>
      </c>
      <c r="G73" s="6">
        <f>VLOOKUP(A73,Sheet2!$A$1:$I$101,7,0)</f>
        <v>6052341</v>
      </c>
      <c r="H73" s="2" t="str">
        <f>VLOOKUP(A73,Sheet2!$A$1:$I$101,8,0)</f>
        <v>2022-03-06</v>
      </c>
      <c r="I73" s="2" t="str">
        <f>VLOOKUP(A73,Sheet2!$A$1:$I$101,9,0)</f>
        <v>Resigned</v>
      </c>
    </row>
    <row r="74" spans="1:9" x14ac:dyDescent="0.25">
      <c r="A74" s="3">
        <f t="shared" si="1"/>
        <v>73</v>
      </c>
      <c r="B74" s="2" t="s">
        <v>141</v>
      </c>
      <c r="C74" s="2" t="str">
        <f>VLOOKUP(A74,Sheet2!$A$1:$I$101,3,0)</f>
        <v>Operations</v>
      </c>
      <c r="D74" s="2" t="str">
        <f>VLOOKUP(A74,Sheet2!$A$1:$I$101,4,0)</f>
        <v>Staff</v>
      </c>
      <c r="E74" s="2" t="str">
        <f>VLOOKUP(A74,Sheet2!$A$1:$I$101,5,0)</f>
        <v>Male</v>
      </c>
      <c r="F74" s="3">
        <f>VLOOKUP(A74,Sheet2!$A$1:$I$101,6,0)</f>
        <v>39</v>
      </c>
      <c r="G74" s="6">
        <f>VLOOKUP(A74,Sheet2!$A$1:$I$101,7,0)</f>
        <v>8432892</v>
      </c>
      <c r="H74" s="2" t="str">
        <f>VLOOKUP(A74,Sheet2!$A$1:$I$101,8,0)</f>
        <v>2022-02-13</v>
      </c>
      <c r="I74" s="2" t="str">
        <f>VLOOKUP(A74,Sheet2!$A$1:$I$101,9,0)</f>
        <v>Active</v>
      </c>
    </row>
    <row r="75" spans="1:9" x14ac:dyDescent="0.25">
      <c r="A75" s="3">
        <f t="shared" si="1"/>
        <v>74</v>
      </c>
      <c r="B75" s="2" t="s">
        <v>163</v>
      </c>
      <c r="C75" s="2" t="str">
        <f>VLOOKUP(A75,Sheet2!$A$1:$I$101,3,0)</f>
        <v>Finance</v>
      </c>
      <c r="D75" s="2" t="str">
        <f>VLOOKUP(A75,Sheet2!$A$1:$I$101,4,0)</f>
        <v>Manager</v>
      </c>
      <c r="E75" s="2" t="str">
        <f>VLOOKUP(A75,Sheet2!$A$1:$I$101,5,0)</f>
        <v>Female</v>
      </c>
      <c r="F75" s="3">
        <f>VLOOKUP(A75,Sheet2!$A$1:$I$101,6,0)</f>
        <v>44</v>
      </c>
      <c r="G75" s="6">
        <f>VLOOKUP(A75,Sheet2!$A$1:$I$101,7,0)</f>
        <v>10702549</v>
      </c>
      <c r="H75" s="2" t="str">
        <f>VLOOKUP(A75,Sheet2!$A$1:$I$101,8,0)</f>
        <v>2021-03-18</v>
      </c>
      <c r="I75" s="2" t="str">
        <f>VLOOKUP(A75,Sheet2!$A$1:$I$101,9,0)</f>
        <v>Active</v>
      </c>
    </row>
    <row r="76" spans="1:9" x14ac:dyDescent="0.25">
      <c r="A76" s="3">
        <f t="shared" si="1"/>
        <v>75</v>
      </c>
      <c r="B76" s="2" t="s">
        <v>76</v>
      </c>
      <c r="C76" s="2" t="str">
        <f>VLOOKUP(A76,Sheet2!$A$1:$I$101,3,0)</f>
        <v>Finance</v>
      </c>
      <c r="D76" s="2" t="str">
        <f>VLOOKUP(A76,Sheet2!$A$1:$I$101,4,0)</f>
        <v>Manager</v>
      </c>
      <c r="E76" s="2" t="str">
        <f>VLOOKUP(A76,Sheet2!$A$1:$I$101,5,0)</f>
        <v>Female</v>
      </c>
      <c r="F76" s="3">
        <f>VLOOKUP(A76,Sheet2!$A$1:$I$101,6,0)</f>
        <v>48</v>
      </c>
      <c r="G76" s="6">
        <f>VLOOKUP(A76,Sheet2!$A$1:$I$101,7,0)</f>
        <v>6833925</v>
      </c>
      <c r="H76" s="2" t="str">
        <f>VLOOKUP(A76,Sheet2!$A$1:$I$101,8,0)</f>
        <v>2021-01-16</v>
      </c>
      <c r="I76" s="2" t="str">
        <f>VLOOKUP(A76,Sheet2!$A$1:$I$101,9,0)</f>
        <v>Active</v>
      </c>
    </row>
    <row r="77" spans="1:9" x14ac:dyDescent="0.25">
      <c r="A77" s="3">
        <f t="shared" si="1"/>
        <v>76</v>
      </c>
      <c r="B77" s="2" t="s">
        <v>166</v>
      </c>
      <c r="C77" s="2" t="str">
        <f>VLOOKUP(A77,Sheet2!$A$1:$I$101,3,0)</f>
        <v>HR</v>
      </c>
      <c r="D77" s="2" t="str">
        <f>VLOOKUP(A77,Sheet2!$A$1:$I$101,4,0)</f>
        <v>Senior Staff</v>
      </c>
      <c r="E77" s="2" t="str">
        <f>VLOOKUP(A77,Sheet2!$A$1:$I$101,5,0)</f>
        <v>Male</v>
      </c>
      <c r="F77" s="3">
        <f>VLOOKUP(A77,Sheet2!$A$1:$I$101,6,0)</f>
        <v>37</v>
      </c>
      <c r="G77" s="6">
        <f>VLOOKUP(A77,Sheet2!$A$1:$I$101,7,0)</f>
        <v>12978606</v>
      </c>
      <c r="H77" s="2" t="str">
        <f>VLOOKUP(A77,Sheet2!$A$1:$I$101,8,0)</f>
        <v>2025-08-21</v>
      </c>
      <c r="I77" s="2" t="str">
        <f>VLOOKUP(A77,Sheet2!$A$1:$I$101,9,0)</f>
        <v>Active</v>
      </c>
    </row>
    <row r="78" spans="1:9" x14ac:dyDescent="0.25">
      <c r="A78" s="3">
        <f t="shared" si="1"/>
        <v>77</v>
      </c>
      <c r="B78" s="2" t="s">
        <v>168</v>
      </c>
      <c r="C78" s="2" t="str">
        <f>VLOOKUP(A78,Sheet2!$A$1:$I$101,3,0)</f>
        <v>Finance</v>
      </c>
      <c r="D78" s="2" t="str">
        <f>VLOOKUP(A78,Sheet2!$A$1:$I$101,4,0)</f>
        <v>Staff</v>
      </c>
      <c r="E78" s="2" t="str">
        <f>VLOOKUP(A78,Sheet2!$A$1:$I$101,5,0)</f>
        <v>Female</v>
      </c>
      <c r="F78" s="3">
        <f>VLOOKUP(A78,Sheet2!$A$1:$I$101,6,0)</f>
        <v>41</v>
      </c>
      <c r="G78" s="6">
        <f>VLOOKUP(A78,Sheet2!$A$1:$I$101,7,0)</f>
        <v>10542167</v>
      </c>
      <c r="H78" s="2" t="str">
        <f>VLOOKUP(A78,Sheet2!$A$1:$I$101,8,0)</f>
        <v>2024-11-25</v>
      </c>
      <c r="I78" s="2" t="str">
        <f>VLOOKUP(A78,Sheet2!$A$1:$I$101,9,0)</f>
        <v>Active</v>
      </c>
    </row>
    <row r="79" spans="1:9" x14ac:dyDescent="0.25">
      <c r="A79" s="3">
        <f t="shared" si="1"/>
        <v>78</v>
      </c>
      <c r="B79" s="2" t="s">
        <v>94</v>
      </c>
      <c r="C79" s="2" t="str">
        <f>VLOOKUP(A79,Sheet2!$A$1:$I$101,3,0)</f>
        <v>HR</v>
      </c>
      <c r="D79" s="2" t="str">
        <f>VLOOKUP(A79,Sheet2!$A$1:$I$101,4,0)</f>
        <v>Senior Staff</v>
      </c>
      <c r="E79" s="2" t="str">
        <f>VLOOKUP(A79,Sheet2!$A$1:$I$101,5,0)</f>
        <v>Female</v>
      </c>
      <c r="F79" s="3">
        <f>VLOOKUP(A79,Sheet2!$A$1:$I$101,6,0)</f>
        <v>39</v>
      </c>
      <c r="G79" s="6">
        <f>VLOOKUP(A79,Sheet2!$A$1:$I$101,7,0)</f>
        <v>12341470</v>
      </c>
      <c r="H79" s="2" t="str">
        <f>VLOOKUP(A79,Sheet2!$A$1:$I$101,8,0)</f>
        <v>2022-07-11</v>
      </c>
      <c r="I79" s="2" t="str">
        <f>VLOOKUP(A79,Sheet2!$A$1:$I$101,9,0)</f>
        <v>Active</v>
      </c>
    </row>
    <row r="80" spans="1:9" x14ac:dyDescent="0.25">
      <c r="A80" s="3">
        <f t="shared" si="1"/>
        <v>79</v>
      </c>
      <c r="B80" s="2" t="s">
        <v>171</v>
      </c>
      <c r="C80" s="2" t="str">
        <f>VLOOKUP(A80,Sheet2!$A$1:$I$101,3,0)</f>
        <v>Marketing</v>
      </c>
      <c r="D80" s="2" t="str">
        <f>VLOOKUP(A80,Sheet2!$A$1:$I$101,4,0)</f>
        <v>Senior Staff</v>
      </c>
      <c r="E80" s="2" t="str">
        <f>VLOOKUP(A80,Sheet2!$A$1:$I$101,5,0)</f>
        <v>Male</v>
      </c>
      <c r="F80" s="3">
        <f>VLOOKUP(A80,Sheet2!$A$1:$I$101,6,0)</f>
        <v>42</v>
      </c>
      <c r="G80" s="6">
        <f>VLOOKUP(A80,Sheet2!$A$1:$I$101,7,0)</f>
        <v>11639595</v>
      </c>
      <c r="H80" s="2" t="str">
        <f>VLOOKUP(A80,Sheet2!$A$1:$I$101,8,0)</f>
        <v>2024-03-11</v>
      </c>
      <c r="I80" s="2" t="str">
        <f>VLOOKUP(A80,Sheet2!$A$1:$I$101,9,0)</f>
        <v>Active</v>
      </c>
    </row>
    <row r="81" spans="1:9" x14ac:dyDescent="0.25">
      <c r="A81" s="3">
        <f t="shared" si="1"/>
        <v>80</v>
      </c>
      <c r="B81" s="2" t="s">
        <v>173</v>
      </c>
      <c r="C81" s="2" t="str">
        <f>VLOOKUP(A81,Sheet2!$A$1:$I$101,3,0)</f>
        <v>IT</v>
      </c>
      <c r="D81" s="2" t="str">
        <f>VLOOKUP(A81,Sheet2!$A$1:$I$101,4,0)</f>
        <v>Senior Staff</v>
      </c>
      <c r="E81" s="2" t="str">
        <f>VLOOKUP(A81,Sheet2!$A$1:$I$101,5,0)</f>
        <v>Male</v>
      </c>
      <c r="F81" s="3">
        <f>VLOOKUP(A81,Sheet2!$A$1:$I$101,6,0)</f>
        <v>30</v>
      </c>
      <c r="G81" s="6">
        <f>VLOOKUP(A81,Sheet2!$A$1:$I$101,7,0)</f>
        <v>11127130</v>
      </c>
      <c r="H81" s="2" t="str">
        <f>VLOOKUP(A81,Sheet2!$A$1:$I$101,8,0)</f>
        <v>2025-05-29</v>
      </c>
      <c r="I81" s="2" t="str">
        <f>VLOOKUP(A81,Sheet2!$A$1:$I$101,9,0)</f>
        <v>Resigned</v>
      </c>
    </row>
    <row r="82" spans="1:9" x14ac:dyDescent="0.25">
      <c r="A82" s="3">
        <f t="shared" si="1"/>
        <v>81</v>
      </c>
      <c r="B82" s="2" t="s">
        <v>175</v>
      </c>
      <c r="C82" s="2" t="str">
        <f>VLOOKUP(A82,Sheet2!$A$1:$I$101,3,0)</f>
        <v>Marketing</v>
      </c>
      <c r="D82" s="2" t="str">
        <f>VLOOKUP(A82,Sheet2!$A$1:$I$101,4,0)</f>
        <v>Manager</v>
      </c>
      <c r="E82" s="2" t="str">
        <f>VLOOKUP(A82,Sheet2!$A$1:$I$101,5,0)</f>
        <v>Female</v>
      </c>
      <c r="F82" s="3">
        <f>VLOOKUP(A82,Sheet2!$A$1:$I$101,6,0)</f>
        <v>48</v>
      </c>
      <c r="G82" s="6">
        <f>VLOOKUP(A82,Sheet2!$A$1:$I$101,7,0)</f>
        <v>4078947</v>
      </c>
      <c r="H82" s="2" t="str">
        <f>VLOOKUP(A82,Sheet2!$A$1:$I$101,8,0)</f>
        <v>2022-01-29</v>
      </c>
      <c r="I82" s="2" t="str">
        <f>VLOOKUP(A82,Sheet2!$A$1:$I$101,9,0)</f>
        <v>Active</v>
      </c>
    </row>
    <row r="83" spans="1:9" x14ac:dyDescent="0.25">
      <c r="A83" s="3">
        <f t="shared" si="1"/>
        <v>82</v>
      </c>
      <c r="B83" s="2" t="s">
        <v>177</v>
      </c>
      <c r="C83" s="2" t="str">
        <f>VLOOKUP(A83,Sheet2!$A$1:$I$101,3,0)</f>
        <v>Finance</v>
      </c>
      <c r="D83" s="2" t="str">
        <f>VLOOKUP(A83,Sheet2!$A$1:$I$101,4,0)</f>
        <v>Senior Staff</v>
      </c>
      <c r="E83" s="2" t="str">
        <f>VLOOKUP(A83,Sheet2!$A$1:$I$101,5,0)</f>
        <v>Male</v>
      </c>
      <c r="F83" s="3">
        <f>VLOOKUP(A83,Sheet2!$A$1:$I$101,6,0)</f>
        <v>48</v>
      </c>
      <c r="G83" s="6">
        <f>VLOOKUP(A83,Sheet2!$A$1:$I$101,7,0)</f>
        <v>10635566</v>
      </c>
      <c r="H83" s="2" t="str">
        <f>VLOOKUP(A83,Sheet2!$A$1:$I$101,8,0)</f>
        <v>2022-08-15</v>
      </c>
      <c r="I83" s="2" t="str">
        <f>VLOOKUP(A83,Sheet2!$A$1:$I$101,9,0)</f>
        <v>Active</v>
      </c>
    </row>
    <row r="84" spans="1:9" x14ac:dyDescent="0.25">
      <c r="A84" s="3">
        <f t="shared" si="1"/>
        <v>83</v>
      </c>
      <c r="B84" s="2" t="s">
        <v>179</v>
      </c>
      <c r="C84" s="2" t="str">
        <f>VLOOKUP(A84,Sheet2!$A$1:$I$101,3,0)</f>
        <v>Finance</v>
      </c>
      <c r="D84" s="2" t="str">
        <f>VLOOKUP(A84,Sheet2!$A$1:$I$101,4,0)</f>
        <v>Senior Staff</v>
      </c>
      <c r="E84" s="2" t="str">
        <f>VLOOKUP(A84,Sheet2!$A$1:$I$101,5,0)</f>
        <v>Male</v>
      </c>
      <c r="F84" s="3">
        <f>VLOOKUP(A84,Sheet2!$A$1:$I$101,6,0)</f>
        <v>42</v>
      </c>
      <c r="G84" s="6">
        <f>VLOOKUP(A84,Sheet2!$A$1:$I$101,7,0)</f>
        <v>11532346</v>
      </c>
      <c r="H84" s="2" t="str">
        <f>VLOOKUP(A84,Sheet2!$A$1:$I$101,8,0)</f>
        <v>2025-12-29</v>
      </c>
      <c r="I84" s="2" t="str">
        <f>VLOOKUP(A84,Sheet2!$A$1:$I$101,9,0)</f>
        <v>Resigned</v>
      </c>
    </row>
    <row r="85" spans="1:9" x14ac:dyDescent="0.25">
      <c r="A85" s="3">
        <f t="shared" si="1"/>
        <v>84</v>
      </c>
      <c r="B85" s="2" t="s">
        <v>56</v>
      </c>
      <c r="C85" s="2" t="str">
        <f>VLOOKUP(A85,Sheet2!$A$1:$I$101,3,0)</f>
        <v>Operations</v>
      </c>
      <c r="D85" s="2" t="str">
        <f>VLOOKUP(A85,Sheet2!$A$1:$I$101,4,0)</f>
        <v>Manager</v>
      </c>
      <c r="E85" s="2" t="str">
        <f>VLOOKUP(A85,Sheet2!$A$1:$I$101,5,0)</f>
        <v>Male</v>
      </c>
      <c r="F85" s="3">
        <f>VLOOKUP(A85,Sheet2!$A$1:$I$101,6,0)</f>
        <v>40</v>
      </c>
      <c r="G85" s="6">
        <f>VLOOKUP(A85,Sheet2!$A$1:$I$101,7,0)</f>
        <v>10739544</v>
      </c>
      <c r="H85" s="2" t="str">
        <f>VLOOKUP(A85,Sheet2!$A$1:$I$101,8,0)</f>
        <v>2026-01-14</v>
      </c>
      <c r="I85" s="2" t="str">
        <f>VLOOKUP(A85,Sheet2!$A$1:$I$101,9,0)</f>
        <v>Resigned</v>
      </c>
    </row>
    <row r="86" spans="1:9" x14ac:dyDescent="0.25">
      <c r="A86" s="3">
        <f t="shared" si="1"/>
        <v>85</v>
      </c>
      <c r="B86" s="2" t="s">
        <v>182</v>
      </c>
      <c r="C86" s="2" t="str">
        <f>VLOOKUP(A86,Sheet2!$A$1:$I$101,3,0)</f>
        <v>HR</v>
      </c>
      <c r="D86" s="2" t="str">
        <f>VLOOKUP(A86,Sheet2!$A$1:$I$101,4,0)</f>
        <v>Manager</v>
      </c>
      <c r="E86" s="2" t="str">
        <f>VLOOKUP(A86,Sheet2!$A$1:$I$101,5,0)</f>
        <v>Female</v>
      </c>
      <c r="F86" s="3">
        <f>VLOOKUP(A86,Sheet2!$A$1:$I$101,6,0)</f>
        <v>32</v>
      </c>
      <c r="G86" s="6">
        <f>VLOOKUP(A86,Sheet2!$A$1:$I$101,7,0)</f>
        <v>11746783</v>
      </c>
      <c r="H86" s="2" t="str">
        <f>VLOOKUP(A86,Sheet2!$A$1:$I$101,8,0)</f>
        <v>2023-08-03</v>
      </c>
      <c r="I86" s="2" t="str">
        <f>VLOOKUP(A86,Sheet2!$A$1:$I$101,9,0)</f>
        <v>Resigned</v>
      </c>
    </row>
    <row r="87" spans="1:9" x14ac:dyDescent="0.25">
      <c r="A87" s="3">
        <f t="shared" si="1"/>
        <v>86</v>
      </c>
      <c r="B87" s="2" t="s">
        <v>184</v>
      </c>
      <c r="C87" s="2" t="str">
        <f>VLOOKUP(A87,Sheet2!$A$1:$I$101,3,0)</f>
        <v>HR</v>
      </c>
      <c r="D87" s="2" t="str">
        <f>VLOOKUP(A87,Sheet2!$A$1:$I$101,4,0)</f>
        <v>Staff</v>
      </c>
      <c r="E87" s="2" t="str">
        <f>VLOOKUP(A87,Sheet2!$A$1:$I$101,5,0)</f>
        <v>Male</v>
      </c>
      <c r="F87" s="3">
        <f>VLOOKUP(A87,Sheet2!$A$1:$I$101,6,0)</f>
        <v>26</v>
      </c>
      <c r="G87" s="6">
        <f>VLOOKUP(A87,Sheet2!$A$1:$I$101,7,0)</f>
        <v>4848882</v>
      </c>
      <c r="H87" s="2" t="str">
        <f>VLOOKUP(A87,Sheet2!$A$1:$I$101,8,0)</f>
        <v>2025-08-09</v>
      </c>
      <c r="I87" s="2" t="str">
        <f>VLOOKUP(A87,Sheet2!$A$1:$I$101,9,0)</f>
        <v>Active</v>
      </c>
    </row>
    <row r="88" spans="1:9" x14ac:dyDescent="0.25">
      <c r="A88" s="3">
        <f t="shared" si="1"/>
        <v>87</v>
      </c>
      <c r="B88" s="2" t="s">
        <v>185</v>
      </c>
      <c r="C88" s="2" t="str">
        <f>VLOOKUP(A88,Sheet2!$A$1:$I$101,3,0)</f>
        <v>Finance</v>
      </c>
      <c r="D88" s="2" t="str">
        <f>VLOOKUP(A88,Sheet2!$A$1:$I$101,4,0)</f>
        <v>Manager</v>
      </c>
      <c r="E88" s="2" t="str">
        <f>VLOOKUP(A88,Sheet2!$A$1:$I$101,5,0)</f>
        <v>Male</v>
      </c>
      <c r="F88" s="3">
        <f>VLOOKUP(A88,Sheet2!$A$1:$I$101,6,0)</f>
        <v>27</v>
      </c>
      <c r="G88" s="6">
        <f>VLOOKUP(A88,Sheet2!$A$1:$I$101,7,0)</f>
        <v>9810536</v>
      </c>
      <c r="H88" s="2" t="str">
        <f>VLOOKUP(A88,Sheet2!$A$1:$I$101,8,0)</f>
        <v>2022-05-14</v>
      </c>
      <c r="I88" s="2" t="str">
        <f>VLOOKUP(A88,Sheet2!$A$1:$I$101,9,0)</f>
        <v>Active</v>
      </c>
    </row>
    <row r="89" spans="1:9" x14ac:dyDescent="0.25">
      <c r="A89" s="3">
        <f t="shared" si="1"/>
        <v>88</v>
      </c>
      <c r="B89" s="2" t="s">
        <v>187</v>
      </c>
      <c r="C89" s="2" t="str">
        <f>VLOOKUP(A89,Sheet2!$A$1:$I$101,3,0)</f>
        <v>IT</v>
      </c>
      <c r="D89" s="2" t="str">
        <f>VLOOKUP(A89,Sheet2!$A$1:$I$101,4,0)</f>
        <v>Manager</v>
      </c>
      <c r="E89" s="2" t="str">
        <f>VLOOKUP(A89,Sheet2!$A$1:$I$101,5,0)</f>
        <v>Female</v>
      </c>
      <c r="F89" s="3">
        <f>VLOOKUP(A89,Sheet2!$A$1:$I$101,6,0)</f>
        <v>23</v>
      </c>
      <c r="G89" s="6">
        <f>VLOOKUP(A89,Sheet2!$A$1:$I$101,7,0)</f>
        <v>9932636</v>
      </c>
      <c r="H89" s="2" t="str">
        <f>VLOOKUP(A89,Sheet2!$A$1:$I$101,8,0)</f>
        <v>2023-11-29</v>
      </c>
      <c r="I89" s="2" t="str">
        <f>VLOOKUP(A89,Sheet2!$A$1:$I$101,9,0)</f>
        <v>Active</v>
      </c>
    </row>
    <row r="90" spans="1:9" x14ac:dyDescent="0.25">
      <c r="A90" s="3">
        <f t="shared" si="1"/>
        <v>89</v>
      </c>
      <c r="B90" s="2" t="s">
        <v>189</v>
      </c>
      <c r="C90" s="2" t="str">
        <f>VLOOKUP(A90,Sheet2!$A$1:$I$101,3,0)</f>
        <v>Operations</v>
      </c>
      <c r="D90" s="2" t="str">
        <f>VLOOKUP(A90,Sheet2!$A$1:$I$101,4,0)</f>
        <v>Staff</v>
      </c>
      <c r="E90" s="2" t="str">
        <f>VLOOKUP(A90,Sheet2!$A$1:$I$101,5,0)</f>
        <v>Female</v>
      </c>
      <c r="F90" s="3">
        <f>VLOOKUP(A90,Sheet2!$A$1:$I$101,6,0)</f>
        <v>41</v>
      </c>
      <c r="G90" s="6">
        <f>VLOOKUP(A90,Sheet2!$A$1:$I$101,7,0)</f>
        <v>11731951</v>
      </c>
      <c r="H90" s="2" t="str">
        <f>VLOOKUP(A90,Sheet2!$A$1:$I$101,8,0)</f>
        <v>2024-11-28</v>
      </c>
      <c r="I90" s="2" t="str">
        <f>VLOOKUP(A90,Sheet2!$A$1:$I$101,9,0)</f>
        <v>Active</v>
      </c>
    </row>
    <row r="91" spans="1:9" x14ac:dyDescent="0.25">
      <c r="A91" s="3">
        <f t="shared" si="1"/>
        <v>90</v>
      </c>
      <c r="B91" s="2" t="s">
        <v>191</v>
      </c>
      <c r="C91" s="2" t="str">
        <f>VLOOKUP(A91,Sheet2!$A$1:$I$101,3,0)</f>
        <v>Operations</v>
      </c>
      <c r="D91" s="2" t="str">
        <f>VLOOKUP(A91,Sheet2!$A$1:$I$101,4,0)</f>
        <v>Senior Staff</v>
      </c>
      <c r="E91" s="2" t="str">
        <f>VLOOKUP(A91,Sheet2!$A$1:$I$101,5,0)</f>
        <v>Male</v>
      </c>
      <c r="F91" s="3">
        <f>VLOOKUP(A91,Sheet2!$A$1:$I$101,6,0)</f>
        <v>34</v>
      </c>
      <c r="G91" s="6">
        <f>VLOOKUP(A91,Sheet2!$A$1:$I$101,7,0)</f>
        <v>6920877</v>
      </c>
      <c r="H91" s="2" t="str">
        <f>VLOOKUP(A91,Sheet2!$A$1:$I$101,8,0)</f>
        <v>2024-12-19</v>
      </c>
      <c r="I91" s="2" t="str">
        <f>VLOOKUP(A91,Sheet2!$A$1:$I$101,9,0)</f>
        <v>Active</v>
      </c>
    </row>
    <row r="92" spans="1:9" x14ac:dyDescent="0.25">
      <c r="A92" s="3">
        <f t="shared" si="1"/>
        <v>91</v>
      </c>
      <c r="B92" s="2" t="s">
        <v>193</v>
      </c>
      <c r="C92" s="2" t="str">
        <f>VLOOKUP(A92,Sheet2!$A$1:$I$101,3,0)</f>
        <v>Operations</v>
      </c>
      <c r="D92" s="2" t="str">
        <f>VLOOKUP(A92,Sheet2!$A$1:$I$101,4,0)</f>
        <v>Senior Staff</v>
      </c>
      <c r="E92" s="2" t="str">
        <f>VLOOKUP(A92,Sheet2!$A$1:$I$101,5,0)</f>
        <v>Female</v>
      </c>
      <c r="F92" s="3">
        <f>VLOOKUP(A92,Sheet2!$A$1:$I$101,6,0)</f>
        <v>26</v>
      </c>
      <c r="G92" s="6">
        <f>VLOOKUP(A92,Sheet2!$A$1:$I$101,7,0)</f>
        <v>6518538</v>
      </c>
      <c r="H92" s="2" t="str">
        <f>VLOOKUP(A92,Sheet2!$A$1:$I$101,8,0)</f>
        <v>2023-05-31</v>
      </c>
      <c r="I92" s="2" t="str">
        <f>VLOOKUP(A92,Sheet2!$A$1:$I$101,9,0)</f>
        <v>Resigned</v>
      </c>
    </row>
    <row r="93" spans="1:9" x14ac:dyDescent="0.25">
      <c r="A93" s="3">
        <f t="shared" si="1"/>
        <v>92</v>
      </c>
      <c r="B93" s="2" t="s">
        <v>23</v>
      </c>
      <c r="C93" s="2" t="str">
        <f>VLOOKUP(A93,Sheet2!$A$1:$I$101,3,0)</f>
        <v>IT</v>
      </c>
      <c r="D93" s="2" t="str">
        <f>VLOOKUP(A93,Sheet2!$A$1:$I$101,4,0)</f>
        <v>Manager</v>
      </c>
      <c r="E93" s="2" t="str">
        <f>VLOOKUP(A93,Sheet2!$A$1:$I$101,5,0)</f>
        <v>Male</v>
      </c>
      <c r="F93" s="3">
        <f>VLOOKUP(A93,Sheet2!$A$1:$I$101,6,0)</f>
        <v>39</v>
      </c>
      <c r="G93" s="6">
        <f>VLOOKUP(A93,Sheet2!$A$1:$I$101,7,0)</f>
        <v>9920078</v>
      </c>
      <c r="H93" s="2" t="str">
        <f>VLOOKUP(A93,Sheet2!$A$1:$I$101,8,0)</f>
        <v>2020-12-03</v>
      </c>
      <c r="I93" s="2" t="str">
        <f>VLOOKUP(A93,Sheet2!$A$1:$I$101,9,0)</f>
        <v>Active</v>
      </c>
    </row>
    <row r="94" spans="1:9" x14ac:dyDescent="0.25">
      <c r="A94" s="3">
        <f t="shared" si="1"/>
        <v>93</v>
      </c>
      <c r="B94" s="2" t="s">
        <v>179</v>
      </c>
      <c r="C94" s="2" t="str">
        <f>VLOOKUP(A94,Sheet2!$A$1:$I$101,3,0)</f>
        <v>IT</v>
      </c>
      <c r="D94" s="2" t="str">
        <f>VLOOKUP(A94,Sheet2!$A$1:$I$101,4,0)</f>
        <v>Manager</v>
      </c>
      <c r="E94" s="2" t="str">
        <f>VLOOKUP(A94,Sheet2!$A$1:$I$101,5,0)</f>
        <v>Female</v>
      </c>
      <c r="F94" s="3">
        <f>VLOOKUP(A94,Sheet2!$A$1:$I$101,6,0)</f>
        <v>43</v>
      </c>
      <c r="G94" s="6">
        <f>VLOOKUP(A94,Sheet2!$A$1:$I$101,7,0)</f>
        <v>14674315</v>
      </c>
      <c r="H94" s="2" t="str">
        <f>VLOOKUP(A94,Sheet2!$A$1:$I$101,8,0)</f>
        <v>2024-05-12</v>
      </c>
      <c r="I94" s="2" t="str">
        <f>VLOOKUP(A94,Sheet2!$A$1:$I$101,9,0)</f>
        <v>Active</v>
      </c>
    </row>
    <row r="95" spans="1:9" x14ac:dyDescent="0.25">
      <c r="A95" s="3">
        <f t="shared" si="1"/>
        <v>94</v>
      </c>
      <c r="B95" s="2" t="s">
        <v>118</v>
      </c>
      <c r="C95" s="2" t="str">
        <f>VLOOKUP(A95,Sheet2!$A$1:$I$101,3,0)</f>
        <v>Finance</v>
      </c>
      <c r="D95" s="2" t="str">
        <f>VLOOKUP(A95,Sheet2!$A$1:$I$101,4,0)</f>
        <v>Staff</v>
      </c>
      <c r="E95" s="2" t="str">
        <f>VLOOKUP(A95,Sheet2!$A$1:$I$101,5,0)</f>
        <v>Male</v>
      </c>
      <c r="F95" s="3">
        <f>VLOOKUP(A95,Sheet2!$A$1:$I$101,6,0)</f>
        <v>24</v>
      </c>
      <c r="G95" s="6">
        <f>VLOOKUP(A95,Sheet2!$A$1:$I$101,7,0)</f>
        <v>7250507</v>
      </c>
      <c r="H95" s="2" t="str">
        <f>VLOOKUP(A95,Sheet2!$A$1:$I$101,8,0)</f>
        <v>2023-06-01</v>
      </c>
      <c r="I95" s="2" t="str">
        <f>VLOOKUP(A95,Sheet2!$A$1:$I$101,9,0)</f>
        <v>Active</v>
      </c>
    </row>
    <row r="96" spans="1:9" x14ac:dyDescent="0.25">
      <c r="A96" s="3">
        <f t="shared" si="1"/>
        <v>95</v>
      </c>
      <c r="B96" s="2" t="s">
        <v>23</v>
      </c>
      <c r="C96" s="2" t="str">
        <f>VLOOKUP(A96,Sheet2!$A$1:$I$101,3,0)</f>
        <v>IT</v>
      </c>
      <c r="D96" s="2" t="str">
        <f>VLOOKUP(A96,Sheet2!$A$1:$I$101,4,0)</f>
        <v>Manager</v>
      </c>
      <c r="E96" s="2" t="str">
        <f>VLOOKUP(A96,Sheet2!$A$1:$I$101,5,0)</f>
        <v>Female</v>
      </c>
      <c r="F96" s="3">
        <f>VLOOKUP(A96,Sheet2!$A$1:$I$101,6,0)</f>
        <v>50</v>
      </c>
      <c r="G96" s="6">
        <f>VLOOKUP(A96,Sheet2!$A$1:$I$101,7,0)</f>
        <v>4746561</v>
      </c>
      <c r="H96" s="2" t="str">
        <f>VLOOKUP(A96,Sheet2!$A$1:$I$101,8,0)</f>
        <v>2024-06-29</v>
      </c>
      <c r="I96" s="2" t="str">
        <f>VLOOKUP(A96,Sheet2!$A$1:$I$101,9,0)</f>
        <v>Active</v>
      </c>
    </row>
    <row r="97" spans="1:9" x14ac:dyDescent="0.25">
      <c r="A97" s="3">
        <f t="shared" si="1"/>
        <v>96</v>
      </c>
      <c r="B97" s="2" t="s">
        <v>199</v>
      </c>
      <c r="C97" s="2" t="str">
        <f>VLOOKUP(A97,Sheet2!$A$1:$I$101,3,0)</f>
        <v>Marketing</v>
      </c>
      <c r="D97" s="2" t="str">
        <f>VLOOKUP(A97,Sheet2!$A$1:$I$101,4,0)</f>
        <v>Supervisor</v>
      </c>
      <c r="E97" s="2" t="str">
        <f>VLOOKUP(A97,Sheet2!$A$1:$I$101,5,0)</f>
        <v>Female</v>
      </c>
      <c r="F97" s="3">
        <f>VLOOKUP(A97,Sheet2!$A$1:$I$101,6,0)</f>
        <v>25</v>
      </c>
      <c r="G97" s="6">
        <f>VLOOKUP(A97,Sheet2!$A$1:$I$101,7,0)</f>
        <v>12533610</v>
      </c>
      <c r="H97" s="2" t="str">
        <f>VLOOKUP(A97,Sheet2!$A$1:$I$101,8,0)</f>
        <v>2021-10-21</v>
      </c>
      <c r="I97" s="2" t="str">
        <f>VLOOKUP(A97,Sheet2!$A$1:$I$101,9,0)</f>
        <v>Active</v>
      </c>
    </row>
    <row r="98" spans="1:9" x14ac:dyDescent="0.25">
      <c r="A98" s="3">
        <f t="shared" si="1"/>
        <v>97</v>
      </c>
      <c r="B98" s="2" t="s">
        <v>201</v>
      </c>
      <c r="C98" s="2" t="str">
        <f>VLOOKUP(A98,Sheet2!$A$1:$I$101,3,0)</f>
        <v>Finance</v>
      </c>
      <c r="D98" s="2" t="str">
        <f>VLOOKUP(A98,Sheet2!$A$1:$I$101,4,0)</f>
        <v>Manager</v>
      </c>
      <c r="E98" s="2" t="str">
        <f>VLOOKUP(A98,Sheet2!$A$1:$I$101,5,0)</f>
        <v>Female</v>
      </c>
      <c r="F98" s="3">
        <f>VLOOKUP(A98,Sheet2!$A$1:$I$101,6,0)</f>
        <v>53</v>
      </c>
      <c r="G98" s="6">
        <f>VLOOKUP(A98,Sheet2!$A$1:$I$101,7,0)</f>
        <v>5152750</v>
      </c>
      <c r="H98" s="2" t="str">
        <f>VLOOKUP(A98,Sheet2!$A$1:$I$101,8,0)</f>
        <v>2025-01-06</v>
      </c>
      <c r="I98" s="2" t="str">
        <f>VLOOKUP(A98,Sheet2!$A$1:$I$101,9,0)</f>
        <v>Resigned</v>
      </c>
    </row>
    <row r="99" spans="1:9" x14ac:dyDescent="0.25">
      <c r="A99" s="3">
        <f t="shared" si="1"/>
        <v>98</v>
      </c>
      <c r="B99" s="2" t="s">
        <v>203</v>
      </c>
      <c r="C99" s="2" t="str">
        <f>VLOOKUP(A99,Sheet2!$A$1:$I$101,3,0)</f>
        <v>Operations</v>
      </c>
      <c r="D99" s="2" t="str">
        <f>VLOOKUP(A99,Sheet2!$A$1:$I$101,4,0)</f>
        <v>Supervisor</v>
      </c>
      <c r="E99" s="2" t="str">
        <f>VLOOKUP(A99,Sheet2!$A$1:$I$101,5,0)</f>
        <v>Female</v>
      </c>
      <c r="F99" s="3">
        <f>VLOOKUP(A99,Sheet2!$A$1:$I$101,6,0)</f>
        <v>46</v>
      </c>
      <c r="G99" s="6">
        <f>VLOOKUP(A99,Sheet2!$A$1:$I$101,7,0)</f>
        <v>6386265</v>
      </c>
      <c r="H99" s="2" t="str">
        <f>VLOOKUP(A99,Sheet2!$A$1:$I$101,8,0)</f>
        <v>2022-03-23</v>
      </c>
      <c r="I99" s="2" t="str">
        <f>VLOOKUP(A99,Sheet2!$A$1:$I$101,9,0)</f>
        <v>Active</v>
      </c>
    </row>
    <row r="100" spans="1:9" x14ac:dyDescent="0.25">
      <c r="A100" s="3">
        <f t="shared" si="1"/>
        <v>99</v>
      </c>
      <c r="B100" s="2" t="s">
        <v>205</v>
      </c>
      <c r="C100" s="2" t="str">
        <f>VLOOKUP(A100,Sheet2!$A$1:$I$101,3,0)</f>
        <v>Finance</v>
      </c>
      <c r="D100" s="2" t="str">
        <f>VLOOKUP(A100,Sheet2!$A$1:$I$101,4,0)</f>
        <v>Supervisor</v>
      </c>
      <c r="E100" s="2" t="str">
        <f>VLOOKUP(A100,Sheet2!$A$1:$I$101,5,0)</f>
        <v>Male</v>
      </c>
      <c r="F100" s="3">
        <f>VLOOKUP(A100,Sheet2!$A$1:$I$101,6,0)</f>
        <v>47</v>
      </c>
      <c r="G100" s="6">
        <f>VLOOKUP(A100,Sheet2!$A$1:$I$101,7,0)</f>
        <v>4188395</v>
      </c>
      <c r="H100" s="2" t="str">
        <f>VLOOKUP(A100,Sheet2!$A$1:$I$101,8,0)</f>
        <v>2025-07-25</v>
      </c>
      <c r="I100" s="2" t="str">
        <f>VLOOKUP(A100,Sheet2!$A$1:$I$101,9,0)</f>
        <v>Active</v>
      </c>
    </row>
    <row r="101" spans="1:9" x14ac:dyDescent="0.25">
      <c r="A101" s="3">
        <f t="shared" si="1"/>
        <v>100</v>
      </c>
      <c r="B101" s="2" t="s">
        <v>207</v>
      </c>
      <c r="C101" s="2" t="str">
        <f>VLOOKUP(A101,Sheet2!$A$1:$I$101,3,0)</f>
        <v>Finance</v>
      </c>
      <c r="D101" s="2" t="str">
        <f>VLOOKUP(A101,Sheet2!$A$1:$I$101,4,0)</f>
        <v>Manager</v>
      </c>
      <c r="E101" s="2" t="str">
        <f>VLOOKUP(A101,Sheet2!$A$1:$I$101,5,0)</f>
        <v>Female</v>
      </c>
      <c r="F101" s="3">
        <f>VLOOKUP(A101,Sheet2!$A$1:$I$101,6,0)</f>
        <v>52</v>
      </c>
      <c r="G101" s="6">
        <f>VLOOKUP(A101,Sheet2!$A$1:$I$101,7,0)</f>
        <v>14050314</v>
      </c>
      <c r="H101" s="2" t="str">
        <f>VLOOKUP(A101,Sheet2!$A$1:$I$101,8,0)</f>
        <v>2025-01-24</v>
      </c>
      <c r="I101" s="2" t="str">
        <f>VLOOKUP(A101,Sheet2!$A$1:$I$101,9,0)</f>
        <v>Active</v>
      </c>
    </row>
    <row r="102" spans="1:9" x14ac:dyDescent="0.25">
      <c r="G102" s="6"/>
    </row>
  </sheetData>
  <conditionalFormatting sqref="G2:G10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102">
    <cfRule type="colorScale" priority="4">
      <colorScale>
        <cfvo type="min"/>
        <cfvo type="max"/>
        <color rgb="FFFF0000"/>
        <color rgb="FF00B050"/>
      </colorScale>
    </cfRule>
    <cfRule type="colorScale" priority="5">
      <colorScale>
        <cfvo type="min"/>
        <cfvo type="max"/>
        <color rgb="FFFF0000"/>
        <color rgb="FF00B050"/>
      </colorScale>
    </cfRule>
  </conditionalFormatting>
  <conditionalFormatting sqref="I2:I101">
    <cfRule type="containsText" dxfId="1" priority="2" operator="containsText" text="Active">
      <formula>NOT(ISERROR(SEARCH("Active",I2)))</formula>
    </cfRule>
    <cfRule type="containsText" dxfId="0" priority="3" operator="containsText" text="Resigned">
      <formula>NOT(ISERROR(SEARCH("Resigned",I2)))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91CF-9783-4D13-AFEA-80159D30933E}">
  <dimension ref="A1:I101"/>
  <sheetViews>
    <sheetView zoomScale="81" workbookViewId="0">
      <selection activeCell="L13" sqref="L13"/>
    </sheetView>
  </sheetViews>
  <sheetFormatPr defaultRowHeight="15" x14ac:dyDescent="0.25"/>
  <sheetData>
    <row r="1" spans="1:9" x14ac:dyDescent="0.25">
      <c r="A1" s="4" t="s">
        <v>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</v>
      </c>
      <c r="G1" s="4" t="s">
        <v>6</v>
      </c>
      <c r="H1" s="4" t="s">
        <v>7</v>
      </c>
      <c r="I1" s="4" t="s">
        <v>8</v>
      </c>
    </row>
    <row r="2" spans="1:9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32</v>
      </c>
      <c r="G2" s="2">
        <v>11453852</v>
      </c>
      <c r="H2" s="2" t="s">
        <v>15</v>
      </c>
      <c r="I2" s="2" t="s">
        <v>16</v>
      </c>
    </row>
    <row r="3" spans="1:9" x14ac:dyDescent="0.25">
      <c r="A3" s="2">
        <v>2</v>
      </c>
      <c r="B3" s="2" t="s">
        <v>17</v>
      </c>
      <c r="C3" s="2" t="s">
        <v>12</v>
      </c>
      <c r="D3" s="2" t="s">
        <v>18</v>
      </c>
      <c r="E3" s="2" t="s">
        <v>14</v>
      </c>
      <c r="F3" s="2">
        <v>51</v>
      </c>
      <c r="G3" s="2">
        <v>6001172</v>
      </c>
      <c r="H3" s="2" t="s">
        <v>19</v>
      </c>
      <c r="I3" s="2" t="s">
        <v>20</v>
      </c>
    </row>
    <row r="4" spans="1:9" x14ac:dyDescent="0.25">
      <c r="A4" s="2">
        <v>3</v>
      </c>
      <c r="B4" s="2" t="s">
        <v>21</v>
      </c>
      <c r="C4" s="2" t="s">
        <v>12</v>
      </c>
      <c r="D4" s="2" t="s">
        <v>18</v>
      </c>
      <c r="E4" s="2" t="s">
        <v>14</v>
      </c>
      <c r="F4" s="2">
        <v>38</v>
      </c>
      <c r="G4" s="2">
        <v>7413799</v>
      </c>
      <c r="H4" s="2" t="s">
        <v>22</v>
      </c>
      <c r="I4" s="2" t="s">
        <v>20</v>
      </c>
    </row>
    <row r="5" spans="1:9" x14ac:dyDescent="0.25">
      <c r="A5" s="2">
        <v>4</v>
      </c>
      <c r="B5" s="2" t="s">
        <v>23</v>
      </c>
      <c r="C5" s="2" t="s">
        <v>24</v>
      </c>
      <c r="D5" s="2" t="s">
        <v>25</v>
      </c>
      <c r="E5" s="2" t="s">
        <v>14</v>
      </c>
      <c r="F5" s="2">
        <v>48</v>
      </c>
      <c r="G5" s="2">
        <v>10449313</v>
      </c>
      <c r="H5" s="2" t="s">
        <v>26</v>
      </c>
      <c r="I5" s="2" t="s">
        <v>20</v>
      </c>
    </row>
    <row r="6" spans="1:9" x14ac:dyDescent="0.25">
      <c r="A6" s="2">
        <v>5</v>
      </c>
      <c r="B6" s="2" t="s">
        <v>27</v>
      </c>
      <c r="C6" s="2" t="s">
        <v>28</v>
      </c>
      <c r="D6" s="2" t="s">
        <v>29</v>
      </c>
      <c r="E6" s="2" t="s">
        <v>14</v>
      </c>
      <c r="F6" s="2">
        <v>27</v>
      </c>
      <c r="G6" s="2">
        <v>4372338</v>
      </c>
      <c r="H6" s="2" t="s">
        <v>30</v>
      </c>
      <c r="I6" s="2" t="s">
        <v>20</v>
      </c>
    </row>
    <row r="7" spans="1:9" x14ac:dyDescent="0.25">
      <c r="A7" s="2">
        <v>6</v>
      </c>
      <c r="B7" s="2" t="s">
        <v>31</v>
      </c>
      <c r="C7" s="2" t="s">
        <v>32</v>
      </c>
      <c r="D7" s="2" t="s">
        <v>25</v>
      </c>
      <c r="E7" s="2" t="s">
        <v>14</v>
      </c>
      <c r="F7" s="2">
        <v>51</v>
      </c>
      <c r="G7" s="2">
        <v>10293130</v>
      </c>
      <c r="H7" s="2" t="s">
        <v>33</v>
      </c>
      <c r="I7" s="2" t="s">
        <v>20</v>
      </c>
    </row>
    <row r="8" spans="1:9" x14ac:dyDescent="0.25">
      <c r="A8" s="2">
        <v>7</v>
      </c>
      <c r="B8" s="2" t="s">
        <v>34</v>
      </c>
      <c r="C8" s="2" t="s">
        <v>12</v>
      </c>
      <c r="D8" s="2" t="s">
        <v>25</v>
      </c>
      <c r="E8" s="2" t="s">
        <v>14</v>
      </c>
      <c r="F8" s="2">
        <v>43</v>
      </c>
      <c r="G8" s="2">
        <v>5377372</v>
      </c>
      <c r="H8" s="2" t="s">
        <v>35</v>
      </c>
      <c r="I8" s="2" t="s">
        <v>16</v>
      </c>
    </row>
    <row r="9" spans="1:9" x14ac:dyDescent="0.25">
      <c r="A9" s="2">
        <v>8</v>
      </c>
      <c r="B9" s="2" t="s">
        <v>36</v>
      </c>
      <c r="C9" s="2" t="s">
        <v>32</v>
      </c>
      <c r="D9" s="2" t="s">
        <v>29</v>
      </c>
      <c r="E9" s="2" t="s">
        <v>14</v>
      </c>
      <c r="F9" s="2">
        <v>55</v>
      </c>
      <c r="G9" s="2">
        <v>7547167</v>
      </c>
      <c r="H9" s="2" t="s">
        <v>37</v>
      </c>
      <c r="I9" s="2" t="s">
        <v>20</v>
      </c>
    </row>
    <row r="10" spans="1:9" x14ac:dyDescent="0.25">
      <c r="A10" s="2">
        <v>9</v>
      </c>
      <c r="B10" s="2" t="s">
        <v>38</v>
      </c>
      <c r="C10" s="2" t="s">
        <v>32</v>
      </c>
      <c r="D10" s="2" t="s">
        <v>18</v>
      </c>
      <c r="E10" s="2" t="s">
        <v>14</v>
      </c>
      <c r="F10" s="2">
        <v>24</v>
      </c>
      <c r="G10" s="2">
        <v>14294913</v>
      </c>
      <c r="H10" s="2" t="s">
        <v>39</v>
      </c>
      <c r="I10" s="2" t="s">
        <v>20</v>
      </c>
    </row>
    <row r="11" spans="1:9" x14ac:dyDescent="0.25">
      <c r="A11" s="2">
        <v>10</v>
      </c>
      <c r="B11" s="2" t="s">
        <v>40</v>
      </c>
      <c r="C11" s="2" t="s">
        <v>28</v>
      </c>
      <c r="D11" s="2" t="s">
        <v>18</v>
      </c>
      <c r="E11" s="2" t="s">
        <v>14</v>
      </c>
      <c r="F11" s="2">
        <v>50</v>
      </c>
      <c r="G11" s="2">
        <v>5583136</v>
      </c>
      <c r="H11" s="2" t="s">
        <v>41</v>
      </c>
      <c r="I11" s="2" t="s">
        <v>20</v>
      </c>
    </row>
    <row r="12" spans="1:9" x14ac:dyDescent="0.25">
      <c r="A12" s="2">
        <v>11</v>
      </c>
      <c r="B12" s="2" t="s">
        <v>42</v>
      </c>
      <c r="C12" s="2" t="s">
        <v>32</v>
      </c>
      <c r="D12" s="2" t="s">
        <v>25</v>
      </c>
      <c r="E12" s="2" t="s">
        <v>14</v>
      </c>
      <c r="F12" s="2">
        <v>32</v>
      </c>
      <c r="G12" s="2">
        <v>11947624</v>
      </c>
      <c r="H12" s="2" t="s">
        <v>43</v>
      </c>
      <c r="I12" s="2" t="s">
        <v>20</v>
      </c>
    </row>
    <row r="13" spans="1:9" x14ac:dyDescent="0.25">
      <c r="A13" s="2">
        <v>12</v>
      </c>
      <c r="B13" s="2" t="s">
        <v>44</v>
      </c>
      <c r="C13" s="2" t="s">
        <v>32</v>
      </c>
      <c r="D13" s="2" t="s">
        <v>13</v>
      </c>
      <c r="E13" s="2" t="s">
        <v>45</v>
      </c>
      <c r="F13" s="2">
        <v>23</v>
      </c>
      <c r="G13" s="2">
        <v>13728950</v>
      </c>
      <c r="H13" s="2" t="s">
        <v>46</v>
      </c>
      <c r="I13" s="2" t="s">
        <v>20</v>
      </c>
    </row>
    <row r="14" spans="1:9" x14ac:dyDescent="0.25">
      <c r="A14" s="2">
        <v>13</v>
      </c>
      <c r="B14" s="2" t="s">
        <v>47</v>
      </c>
      <c r="C14" s="2" t="s">
        <v>28</v>
      </c>
      <c r="D14" s="2" t="s">
        <v>25</v>
      </c>
      <c r="E14" s="2" t="s">
        <v>45</v>
      </c>
      <c r="F14" s="2">
        <v>52</v>
      </c>
      <c r="G14" s="2">
        <v>10020173</v>
      </c>
      <c r="H14" s="2" t="s">
        <v>48</v>
      </c>
      <c r="I14" s="2" t="s">
        <v>20</v>
      </c>
    </row>
    <row r="15" spans="1:9" x14ac:dyDescent="0.25">
      <c r="A15" s="2">
        <v>14</v>
      </c>
      <c r="B15" s="2" t="s">
        <v>49</v>
      </c>
      <c r="C15" s="2" t="s">
        <v>50</v>
      </c>
      <c r="D15" s="2" t="s">
        <v>18</v>
      </c>
      <c r="E15" s="2" t="s">
        <v>14</v>
      </c>
      <c r="F15" s="2">
        <v>36</v>
      </c>
      <c r="G15" s="2">
        <v>4882327</v>
      </c>
      <c r="H15" s="2" t="s">
        <v>51</v>
      </c>
      <c r="I15" s="2" t="s">
        <v>16</v>
      </c>
    </row>
    <row r="16" spans="1:9" x14ac:dyDescent="0.25">
      <c r="A16" s="2">
        <v>15</v>
      </c>
      <c r="B16" s="2" t="s">
        <v>52</v>
      </c>
      <c r="C16" s="2" t="s">
        <v>32</v>
      </c>
      <c r="D16" s="2" t="s">
        <v>13</v>
      </c>
      <c r="E16" s="2" t="s">
        <v>14</v>
      </c>
      <c r="F16" s="2">
        <v>34</v>
      </c>
      <c r="G16" s="2">
        <v>7976049</v>
      </c>
      <c r="H16" s="2" t="s">
        <v>53</v>
      </c>
      <c r="I16" s="2" t="s">
        <v>20</v>
      </c>
    </row>
    <row r="17" spans="1:9" x14ac:dyDescent="0.25">
      <c r="A17" s="2">
        <v>16</v>
      </c>
      <c r="B17" s="2" t="s">
        <v>54</v>
      </c>
      <c r="C17" s="2" t="s">
        <v>50</v>
      </c>
      <c r="D17" s="2" t="s">
        <v>13</v>
      </c>
      <c r="E17" s="2" t="s">
        <v>14</v>
      </c>
      <c r="F17" s="2">
        <v>55</v>
      </c>
      <c r="G17" s="2">
        <v>12392424</v>
      </c>
      <c r="H17" s="2" t="s">
        <v>55</v>
      </c>
      <c r="I17" s="2" t="s">
        <v>20</v>
      </c>
    </row>
    <row r="18" spans="1:9" x14ac:dyDescent="0.25">
      <c r="A18" s="2">
        <v>17</v>
      </c>
      <c r="B18" s="2" t="s">
        <v>56</v>
      </c>
      <c r="C18" s="2" t="s">
        <v>50</v>
      </c>
      <c r="D18" s="2" t="s">
        <v>25</v>
      </c>
      <c r="E18" s="2" t="s">
        <v>45</v>
      </c>
      <c r="F18" s="2">
        <v>44</v>
      </c>
      <c r="G18" s="2">
        <v>13710745</v>
      </c>
      <c r="H18" s="2" t="s">
        <v>57</v>
      </c>
      <c r="I18" s="2" t="s">
        <v>16</v>
      </c>
    </row>
    <row r="19" spans="1:9" x14ac:dyDescent="0.25">
      <c r="A19" s="2">
        <v>18</v>
      </c>
      <c r="B19" s="2" t="s">
        <v>58</v>
      </c>
      <c r="C19" s="2" t="s">
        <v>28</v>
      </c>
      <c r="D19" s="2" t="s">
        <v>13</v>
      </c>
      <c r="E19" s="2" t="s">
        <v>45</v>
      </c>
      <c r="F19" s="2">
        <v>55</v>
      </c>
      <c r="G19" s="2">
        <v>12151736</v>
      </c>
      <c r="H19" s="2" t="s">
        <v>59</v>
      </c>
      <c r="I19" s="2" t="s">
        <v>20</v>
      </c>
    </row>
    <row r="20" spans="1:9" x14ac:dyDescent="0.25">
      <c r="A20" s="2">
        <v>19</v>
      </c>
      <c r="B20" s="2" t="s">
        <v>60</v>
      </c>
      <c r="C20" s="2" t="s">
        <v>24</v>
      </c>
      <c r="D20" s="2" t="s">
        <v>25</v>
      </c>
      <c r="E20" s="2" t="s">
        <v>14</v>
      </c>
      <c r="F20" s="2">
        <v>46</v>
      </c>
      <c r="G20" s="2">
        <v>10201363</v>
      </c>
      <c r="H20" s="2" t="s">
        <v>61</v>
      </c>
      <c r="I20" s="2" t="s">
        <v>20</v>
      </c>
    </row>
    <row r="21" spans="1:9" x14ac:dyDescent="0.25">
      <c r="A21" s="2">
        <v>20</v>
      </c>
      <c r="B21" s="2" t="s">
        <v>62</v>
      </c>
      <c r="C21" s="2" t="s">
        <v>28</v>
      </c>
      <c r="D21" s="2" t="s">
        <v>25</v>
      </c>
      <c r="E21" s="2" t="s">
        <v>45</v>
      </c>
      <c r="F21" s="2">
        <v>34</v>
      </c>
      <c r="G21" s="2">
        <v>10045645</v>
      </c>
      <c r="H21" s="2" t="s">
        <v>63</v>
      </c>
      <c r="I21" s="2" t="s">
        <v>20</v>
      </c>
    </row>
    <row r="22" spans="1:9" x14ac:dyDescent="0.25">
      <c r="A22" s="2">
        <v>21</v>
      </c>
      <c r="B22" s="2" t="s">
        <v>64</v>
      </c>
      <c r="C22" s="2" t="s">
        <v>50</v>
      </c>
      <c r="D22" s="2" t="s">
        <v>25</v>
      </c>
      <c r="E22" s="2" t="s">
        <v>45</v>
      </c>
      <c r="F22" s="2">
        <v>48</v>
      </c>
      <c r="G22" s="2">
        <v>10980130</v>
      </c>
      <c r="H22" s="2" t="s">
        <v>65</v>
      </c>
      <c r="I22" s="2" t="s">
        <v>20</v>
      </c>
    </row>
    <row r="23" spans="1:9" x14ac:dyDescent="0.25">
      <c r="A23" s="2">
        <v>22</v>
      </c>
      <c r="B23" s="2" t="s">
        <v>66</v>
      </c>
      <c r="C23" s="2" t="s">
        <v>28</v>
      </c>
      <c r="D23" s="2" t="s">
        <v>18</v>
      </c>
      <c r="E23" s="2" t="s">
        <v>14</v>
      </c>
      <c r="F23" s="2">
        <v>33</v>
      </c>
      <c r="G23" s="2">
        <v>6014948</v>
      </c>
      <c r="H23" s="2" t="s">
        <v>67</v>
      </c>
      <c r="I23" s="2" t="s">
        <v>20</v>
      </c>
    </row>
    <row r="24" spans="1:9" x14ac:dyDescent="0.25">
      <c r="A24" s="2">
        <v>23</v>
      </c>
      <c r="B24" s="2" t="s">
        <v>68</v>
      </c>
      <c r="C24" s="2" t="s">
        <v>50</v>
      </c>
      <c r="D24" s="2" t="s">
        <v>25</v>
      </c>
      <c r="E24" s="2" t="s">
        <v>14</v>
      </c>
      <c r="F24" s="2">
        <v>40</v>
      </c>
      <c r="G24" s="2">
        <v>11805830</v>
      </c>
      <c r="H24" s="2" t="s">
        <v>69</v>
      </c>
      <c r="I24" s="2" t="s">
        <v>20</v>
      </c>
    </row>
    <row r="25" spans="1:9" x14ac:dyDescent="0.25">
      <c r="A25" s="2">
        <v>24</v>
      </c>
      <c r="B25" s="2" t="s">
        <v>70</v>
      </c>
      <c r="C25" s="2" t="s">
        <v>24</v>
      </c>
      <c r="D25" s="2" t="s">
        <v>29</v>
      </c>
      <c r="E25" s="2" t="s">
        <v>14</v>
      </c>
      <c r="F25" s="2">
        <v>32</v>
      </c>
      <c r="G25" s="2">
        <v>4767765</v>
      </c>
      <c r="H25" s="2" t="s">
        <v>71</v>
      </c>
      <c r="I25" s="2" t="s">
        <v>20</v>
      </c>
    </row>
    <row r="26" spans="1:9" x14ac:dyDescent="0.25">
      <c r="A26" s="2">
        <v>25</v>
      </c>
      <c r="B26" s="2" t="s">
        <v>72</v>
      </c>
      <c r="C26" s="2" t="s">
        <v>12</v>
      </c>
      <c r="D26" s="2" t="s">
        <v>18</v>
      </c>
      <c r="E26" s="2" t="s">
        <v>45</v>
      </c>
      <c r="F26" s="2">
        <v>50</v>
      </c>
      <c r="G26" s="2">
        <v>10209540</v>
      </c>
      <c r="H26" s="2" t="s">
        <v>73</v>
      </c>
      <c r="I26" s="2" t="s">
        <v>20</v>
      </c>
    </row>
    <row r="27" spans="1:9" x14ac:dyDescent="0.25">
      <c r="A27" s="2">
        <v>26</v>
      </c>
      <c r="B27" s="2" t="s">
        <v>74</v>
      </c>
      <c r="C27" s="2" t="s">
        <v>28</v>
      </c>
      <c r="D27" s="2" t="s">
        <v>25</v>
      </c>
      <c r="E27" s="2" t="s">
        <v>14</v>
      </c>
      <c r="F27" s="2">
        <v>44</v>
      </c>
      <c r="G27" s="2">
        <v>14035700</v>
      </c>
      <c r="H27" s="2" t="s">
        <v>75</v>
      </c>
      <c r="I27" s="2" t="s">
        <v>16</v>
      </c>
    </row>
    <row r="28" spans="1:9" x14ac:dyDescent="0.25">
      <c r="A28" s="2">
        <v>27</v>
      </c>
      <c r="B28" s="2" t="s">
        <v>76</v>
      </c>
      <c r="C28" s="2" t="s">
        <v>12</v>
      </c>
      <c r="D28" s="2" t="s">
        <v>29</v>
      </c>
      <c r="E28" s="2" t="s">
        <v>45</v>
      </c>
      <c r="F28" s="2">
        <v>25</v>
      </c>
      <c r="G28" s="2">
        <v>6136466</v>
      </c>
      <c r="H28" s="2" t="s">
        <v>77</v>
      </c>
      <c r="I28" s="2" t="s">
        <v>16</v>
      </c>
    </row>
    <row r="29" spans="1:9" x14ac:dyDescent="0.25">
      <c r="A29" s="2">
        <v>28</v>
      </c>
      <c r="B29" s="2" t="s">
        <v>78</v>
      </c>
      <c r="C29" s="2" t="s">
        <v>50</v>
      </c>
      <c r="D29" s="2" t="s">
        <v>13</v>
      </c>
      <c r="E29" s="2" t="s">
        <v>14</v>
      </c>
      <c r="F29" s="2">
        <v>36</v>
      </c>
      <c r="G29" s="2">
        <v>5157630</v>
      </c>
      <c r="H29" s="2" t="s">
        <v>79</v>
      </c>
      <c r="I29" s="2" t="s">
        <v>20</v>
      </c>
    </row>
    <row r="30" spans="1:9" x14ac:dyDescent="0.25">
      <c r="A30" s="2">
        <v>29</v>
      </c>
      <c r="B30" s="2" t="s">
        <v>80</v>
      </c>
      <c r="C30" s="2" t="s">
        <v>32</v>
      </c>
      <c r="D30" s="2" t="s">
        <v>29</v>
      </c>
      <c r="E30" s="2" t="s">
        <v>45</v>
      </c>
      <c r="F30" s="2">
        <v>33</v>
      </c>
      <c r="G30" s="2">
        <v>10924326</v>
      </c>
      <c r="H30" s="2" t="s">
        <v>81</v>
      </c>
      <c r="I30" s="2" t="s">
        <v>16</v>
      </c>
    </row>
    <row r="31" spans="1:9" x14ac:dyDescent="0.25">
      <c r="A31" s="2">
        <v>30</v>
      </c>
      <c r="B31" s="2" t="s">
        <v>82</v>
      </c>
      <c r="C31" s="2" t="s">
        <v>50</v>
      </c>
      <c r="D31" s="2" t="s">
        <v>18</v>
      </c>
      <c r="E31" s="2" t="s">
        <v>14</v>
      </c>
      <c r="F31" s="2">
        <v>41</v>
      </c>
      <c r="G31" s="2">
        <v>14292897</v>
      </c>
      <c r="H31" s="2" t="s">
        <v>83</v>
      </c>
      <c r="I31" s="2" t="s">
        <v>20</v>
      </c>
    </row>
    <row r="32" spans="1:9" x14ac:dyDescent="0.25">
      <c r="A32" s="2">
        <v>31</v>
      </c>
      <c r="B32" s="2" t="s">
        <v>84</v>
      </c>
      <c r="C32" s="2" t="s">
        <v>32</v>
      </c>
      <c r="D32" s="2" t="s">
        <v>18</v>
      </c>
      <c r="E32" s="2" t="s">
        <v>45</v>
      </c>
      <c r="F32" s="2">
        <v>42</v>
      </c>
      <c r="G32" s="2">
        <v>13805291</v>
      </c>
      <c r="H32" s="2" t="s">
        <v>85</v>
      </c>
      <c r="I32" s="2" t="s">
        <v>16</v>
      </c>
    </row>
    <row r="33" spans="1:9" x14ac:dyDescent="0.25">
      <c r="A33" s="2">
        <v>32</v>
      </c>
      <c r="B33" s="2" t="s">
        <v>86</v>
      </c>
      <c r="C33" s="2" t="s">
        <v>24</v>
      </c>
      <c r="D33" s="2" t="s">
        <v>13</v>
      </c>
      <c r="E33" s="2" t="s">
        <v>14</v>
      </c>
      <c r="F33" s="2">
        <v>37</v>
      </c>
      <c r="G33" s="2">
        <v>9680247</v>
      </c>
      <c r="H33" s="2" t="s">
        <v>87</v>
      </c>
      <c r="I33" s="2" t="s">
        <v>16</v>
      </c>
    </row>
    <row r="34" spans="1:9" x14ac:dyDescent="0.25">
      <c r="A34" s="2">
        <v>33</v>
      </c>
      <c r="B34" s="2" t="s">
        <v>88</v>
      </c>
      <c r="C34" s="2" t="s">
        <v>50</v>
      </c>
      <c r="D34" s="2" t="s">
        <v>13</v>
      </c>
      <c r="E34" s="2" t="s">
        <v>45</v>
      </c>
      <c r="F34" s="2">
        <v>39</v>
      </c>
      <c r="G34" s="2">
        <v>6484491</v>
      </c>
      <c r="H34" s="2" t="s">
        <v>89</v>
      </c>
      <c r="I34" s="2" t="s">
        <v>20</v>
      </c>
    </row>
    <row r="35" spans="1:9" x14ac:dyDescent="0.25">
      <c r="A35" s="2">
        <v>34</v>
      </c>
      <c r="B35" s="2" t="s">
        <v>90</v>
      </c>
      <c r="C35" s="2" t="s">
        <v>50</v>
      </c>
      <c r="D35" s="2" t="s">
        <v>25</v>
      </c>
      <c r="E35" s="2" t="s">
        <v>45</v>
      </c>
      <c r="F35" s="2">
        <v>43</v>
      </c>
      <c r="G35" s="2">
        <v>11006009</v>
      </c>
      <c r="H35" s="2" t="s">
        <v>91</v>
      </c>
      <c r="I35" s="2" t="s">
        <v>20</v>
      </c>
    </row>
    <row r="36" spans="1:9" x14ac:dyDescent="0.25">
      <c r="A36" s="2">
        <v>35</v>
      </c>
      <c r="B36" s="2" t="s">
        <v>92</v>
      </c>
      <c r="C36" s="2" t="s">
        <v>50</v>
      </c>
      <c r="D36" s="2" t="s">
        <v>13</v>
      </c>
      <c r="E36" s="2" t="s">
        <v>14</v>
      </c>
      <c r="F36" s="2">
        <v>49</v>
      </c>
      <c r="G36" s="2">
        <v>7744441</v>
      </c>
      <c r="H36" s="2" t="s">
        <v>93</v>
      </c>
      <c r="I36" s="2" t="s">
        <v>16</v>
      </c>
    </row>
    <row r="37" spans="1:9" x14ac:dyDescent="0.25">
      <c r="A37" s="2">
        <v>36</v>
      </c>
      <c r="B37" s="2" t="s">
        <v>94</v>
      </c>
      <c r="C37" s="2" t="s">
        <v>50</v>
      </c>
      <c r="D37" s="2" t="s">
        <v>13</v>
      </c>
      <c r="E37" s="2" t="s">
        <v>14</v>
      </c>
      <c r="F37" s="2">
        <v>29</v>
      </c>
      <c r="G37" s="2">
        <v>12608093</v>
      </c>
      <c r="H37" s="2" t="s">
        <v>95</v>
      </c>
      <c r="I37" s="2" t="s">
        <v>20</v>
      </c>
    </row>
    <row r="38" spans="1:9" x14ac:dyDescent="0.25">
      <c r="A38" s="2">
        <v>37</v>
      </c>
      <c r="B38" s="2" t="s">
        <v>96</v>
      </c>
      <c r="C38" s="2" t="s">
        <v>12</v>
      </c>
      <c r="D38" s="2" t="s">
        <v>13</v>
      </c>
      <c r="E38" s="2" t="s">
        <v>14</v>
      </c>
      <c r="F38" s="2">
        <v>26</v>
      </c>
      <c r="G38" s="2">
        <v>12590159</v>
      </c>
      <c r="H38" s="2" t="s">
        <v>97</v>
      </c>
      <c r="I38" s="2" t="s">
        <v>16</v>
      </c>
    </row>
    <row r="39" spans="1:9" x14ac:dyDescent="0.25">
      <c r="A39" s="2">
        <v>38</v>
      </c>
      <c r="B39" s="2" t="s">
        <v>98</v>
      </c>
      <c r="C39" s="2" t="s">
        <v>50</v>
      </c>
      <c r="D39" s="2" t="s">
        <v>13</v>
      </c>
      <c r="E39" s="2" t="s">
        <v>45</v>
      </c>
      <c r="F39" s="2">
        <v>48</v>
      </c>
      <c r="G39" s="2">
        <v>11595890</v>
      </c>
      <c r="H39" s="2" t="s">
        <v>99</v>
      </c>
      <c r="I39" s="2" t="s">
        <v>16</v>
      </c>
    </row>
    <row r="40" spans="1:9" x14ac:dyDescent="0.25">
      <c r="A40" s="2">
        <v>39</v>
      </c>
      <c r="B40" s="2" t="s">
        <v>100</v>
      </c>
      <c r="C40" s="2" t="s">
        <v>28</v>
      </c>
      <c r="D40" s="2" t="s">
        <v>29</v>
      </c>
      <c r="E40" s="2" t="s">
        <v>14</v>
      </c>
      <c r="F40" s="2">
        <v>38</v>
      </c>
      <c r="G40" s="2">
        <v>9651590</v>
      </c>
      <c r="H40" s="2" t="s">
        <v>101</v>
      </c>
      <c r="I40" s="2" t="s">
        <v>20</v>
      </c>
    </row>
    <row r="41" spans="1:9" x14ac:dyDescent="0.25">
      <c r="A41" s="2">
        <v>40</v>
      </c>
      <c r="B41" s="2" t="s">
        <v>102</v>
      </c>
      <c r="C41" s="2" t="s">
        <v>32</v>
      </c>
      <c r="D41" s="2" t="s">
        <v>29</v>
      </c>
      <c r="E41" s="2" t="s">
        <v>45</v>
      </c>
      <c r="F41" s="2">
        <v>42</v>
      </c>
      <c r="G41" s="2">
        <v>13233212</v>
      </c>
      <c r="H41" s="2" t="s">
        <v>103</v>
      </c>
      <c r="I41" s="2" t="s">
        <v>20</v>
      </c>
    </row>
    <row r="42" spans="1:9" x14ac:dyDescent="0.25">
      <c r="A42" s="2">
        <v>41</v>
      </c>
      <c r="B42" s="2" t="s">
        <v>104</v>
      </c>
      <c r="C42" s="2" t="s">
        <v>28</v>
      </c>
      <c r="D42" s="2" t="s">
        <v>29</v>
      </c>
      <c r="E42" s="2" t="s">
        <v>14</v>
      </c>
      <c r="F42" s="2">
        <v>47</v>
      </c>
      <c r="G42" s="2">
        <v>12724482</v>
      </c>
      <c r="H42" s="2" t="s">
        <v>105</v>
      </c>
      <c r="I42" s="2" t="s">
        <v>20</v>
      </c>
    </row>
    <row r="43" spans="1:9" x14ac:dyDescent="0.25">
      <c r="A43" s="2">
        <v>42</v>
      </c>
      <c r="B43" s="2" t="s">
        <v>106</v>
      </c>
      <c r="C43" s="2" t="s">
        <v>12</v>
      </c>
      <c r="D43" s="2" t="s">
        <v>18</v>
      </c>
      <c r="E43" s="2" t="s">
        <v>14</v>
      </c>
      <c r="F43" s="2">
        <v>45</v>
      </c>
      <c r="G43" s="2">
        <v>13224240</v>
      </c>
      <c r="H43" s="2" t="s">
        <v>107</v>
      </c>
      <c r="I43" s="2" t="s">
        <v>20</v>
      </c>
    </row>
    <row r="44" spans="1:9" x14ac:dyDescent="0.25">
      <c r="A44" s="2">
        <v>43</v>
      </c>
      <c r="B44" s="2" t="s">
        <v>108</v>
      </c>
      <c r="C44" s="2" t="s">
        <v>28</v>
      </c>
      <c r="D44" s="2" t="s">
        <v>18</v>
      </c>
      <c r="E44" s="2" t="s">
        <v>14</v>
      </c>
      <c r="F44" s="2">
        <v>26</v>
      </c>
      <c r="G44" s="2">
        <v>7300380</v>
      </c>
      <c r="H44" s="2" t="s">
        <v>109</v>
      </c>
      <c r="I44" s="2" t="s">
        <v>20</v>
      </c>
    </row>
    <row r="45" spans="1:9" x14ac:dyDescent="0.25">
      <c r="A45" s="2">
        <v>44</v>
      </c>
      <c r="B45" s="2" t="s">
        <v>110</v>
      </c>
      <c r="C45" s="2" t="s">
        <v>28</v>
      </c>
      <c r="D45" s="2" t="s">
        <v>29</v>
      </c>
      <c r="E45" s="2" t="s">
        <v>45</v>
      </c>
      <c r="F45" s="2">
        <v>25</v>
      </c>
      <c r="G45" s="2">
        <v>6156641</v>
      </c>
      <c r="H45" s="2" t="s">
        <v>111</v>
      </c>
      <c r="I45" s="2" t="s">
        <v>20</v>
      </c>
    </row>
    <row r="46" spans="1:9" x14ac:dyDescent="0.25">
      <c r="A46" s="2">
        <v>45</v>
      </c>
      <c r="B46" s="2" t="s">
        <v>112</v>
      </c>
      <c r="C46" s="2" t="s">
        <v>24</v>
      </c>
      <c r="D46" s="2" t="s">
        <v>18</v>
      </c>
      <c r="E46" s="2" t="s">
        <v>45</v>
      </c>
      <c r="F46" s="2">
        <v>35</v>
      </c>
      <c r="G46" s="2">
        <v>12398198</v>
      </c>
      <c r="H46" s="2" t="s">
        <v>113</v>
      </c>
      <c r="I46" s="2" t="s">
        <v>20</v>
      </c>
    </row>
    <row r="47" spans="1:9" x14ac:dyDescent="0.25">
      <c r="A47" s="2">
        <v>46</v>
      </c>
      <c r="B47" s="2" t="s">
        <v>114</v>
      </c>
      <c r="C47" s="2" t="s">
        <v>12</v>
      </c>
      <c r="D47" s="2" t="s">
        <v>13</v>
      </c>
      <c r="E47" s="2" t="s">
        <v>14</v>
      </c>
      <c r="F47" s="2">
        <v>38</v>
      </c>
      <c r="G47" s="2">
        <v>14922539</v>
      </c>
      <c r="H47" s="2" t="s">
        <v>115</v>
      </c>
      <c r="I47" s="2" t="s">
        <v>20</v>
      </c>
    </row>
    <row r="48" spans="1:9" x14ac:dyDescent="0.25">
      <c r="A48" s="2">
        <v>47</v>
      </c>
      <c r="B48" s="2" t="s">
        <v>116</v>
      </c>
      <c r="C48" s="2" t="s">
        <v>24</v>
      </c>
      <c r="D48" s="2" t="s">
        <v>29</v>
      </c>
      <c r="E48" s="2" t="s">
        <v>45</v>
      </c>
      <c r="F48" s="2">
        <v>32</v>
      </c>
      <c r="G48" s="2">
        <v>8124088</v>
      </c>
      <c r="H48" s="2" t="s">
        <v>117</v>
      </c>
      <c r="I48" s="2" t="s">
        <v>20</v>
      </c>
    </row>
    <row r="49" spans="1:9" x14ac:dyDescent="0.25">
      <c r="A49" s="2">
        <v>48</v>
      </c>
      <c r="B49" s="2" t="s">
        <v>118</v>
      </c>
      <c r="C49" s="2" t="s">
        <v>50</v>
      </c>
      <c r="D49" s="2" t="s">
        <v>25</v>
      </c>
      <c r="E49" s="2" t="s">
        <v>45</v>
      </c>
      <c r="F49" s="2">
        <v>44</v>
      </c>
      <c r="G49" s="2">
        <v>6602125</v>
      </c>
      <c r="H49" s="2" t="s">
        <v>119</v>
      </c>
      <c r="I49" s="2" t="s">
        <v>20</v>
      </c>
    </row>
    <row r="50" spans="1:9" x14ac:dyDescent="0.25">
      <c r="A50" s="2">
        <v>49</v>
      </c>
      <c r="B50" s="2" t="s">
        <v>120</v>
      </c>
      <c r="C50" s="2" t="s">
        <v>50</v>
      </c>
      <c r="D50" s="2" t="s">
        <v>25</v>
      </c>
      <c r="E50" s="2" t="s">
        <v>45</v>
      </c>
      <c r="F50" s="2">
        <v>41</v>
      </c>
      <c r="G50" s="2">
        <v>11710348</v>
      </c>
      <c r="H50" s="2" t="s">
        <v>121</v>
      </c>
      <c r="I50" s="2" t="s">
        <v>20</v>
      </c>
    </row>
    <row r="51" spans="1:9" x14ac:dyDescent="0.25">
      <c r="A51" s="2">
        <v>50</v>
      </c>
      <c r="B51" s="2" t="s">
        <v>122</v>
      </c>
      <c r="C51" s="2" t="s">
        <v>24</v>
      </c>
      <c r="D51" s="2" t="s">
        <v>29</v>
      </c>
      <c r="E51" s="2" t="s">
        <v>45</v>
      </c>
      <c r="F51" s="2">
        <v>43</v>
      </c>
      <c r="G51" s="2">
        <v>6752345</v>
      </c>
      <c r="H51" s="2" t="s">
        <v>123</v>
      </c>
      <c r="I51" s="2" t="s">
        <v>20</v>
      </c>
    </row>
    <row r="52" spans="1:9" x14ac:dyDescent="0.25">
      <c r="A52" s="2">
        <v>51</v>
      </c>
      <c r="B52" s="2" t="s">
        <v>124</v>
      </c>
      <c r="C52" s="2" t="s">
        <v>50</v>
      </c>
      <c r="D52" s="2" t="s">
        <v>29</v>
      </c>
      <c r="E52" s="2" t="s">
        <v>45</v>
      </c>
      <c r="F52" s="2">
        <v>42</v>
      </c>
      <c r="G52" s="2">
        <v>13579628</v>
      </c>
      <c r="H52" s="2" t="s">
        <v>125</v>
      </c>
      <c r="I52" s="2" t="s">
        <v>16</v>
      </c>
    </row>
    <row r="53" spans="1:9" x14ac:dyDescent="0.25">
      <c r="A53" s="2">
        <v>52</v>
      </c>
      <c r="B53" s="2" t="s">
        <v>126</v>
      </c>
      <c r="C53" s="2" t="s">
        <v>12</v>
      </c>
      <c r="D53" s="2" t="s">
        <v>13</v>
      </c>
      <c r="E53" s="2" t="s">
        <v>45</v>
      </c>
      <c r="F53" s="2">
        <v>31</v>
      </c>
      <c r="G53" s="2">
        <v>13077939</v>
      </c>
      <c r="H53" s="2" t="s">
        <v>127</v>
      </c>
      <c r="I53" s="2" t="s">
        <v>20</v>
      </c>
    </row>
    <row r="54" spans="1:9" x14ac:dyDescent="0.25">
      <c r="A54" s="2">
        <v>53</v>
      </c>
      <c r="B54" s="2" t="s">
        <v>128</v>
      </c>
      <c r="C54" s="2" t="s">
        <v>32</v>
      </c>
      <c r="D54" s="2" t="s">
        <v>25</v>
      </c>
      <c r="E54" s="2" t="s">
        <v>45</v>
      </c>
      <c r="F54" s="2">
        <v>34</v>
      </c>
      <c r="G54" s="2">
        <v>5738705</v>
      </c>
      <c r="H54" s="2" t="s">
        <v>129</v>
      </c>
      <c r="I54" s="2" t="s">
        <v>20</v>
      </c>
    </row>
    <row r="55" spans="1:9" x14ac:dyDescent="0.25">
      <c r="A55" s="2">
        <v>54</v>
      </c>
      <c r="B55" s="2" t="s">
        <v>130</v>
      </c>
      <c r="C55" s="2" t="s">
        <v>50</v>
      </c>
      <c r="D55" s="2" t="s">
        <v>25</v>
      </c>
      <c r="E55" s="2" t="s">
        <v>45</v>
      </c>
      <c r="F55" s="2">
        <v>46</v>
      </c>
      <c r="G55" s="2">
        <v>7248589</v>
      </c>
      <c r="H55" s="2" t="s">
        <v>131</v>
      </c>
      <c r="I55" s="2" t="s">
        <v>20</v>
      </c>
    </row>
    <row r="56" spans="1:9" x14ac:dyDescent="0.25">
      <c r="A56" s="2">
        <v>55</v>
      </c>
      <c r="B56" s="2" t="s">
        <v>132</v>
      </c>
      <c r="C56" s="2" t="s">
        <v>12</v>
      </c>
      <c r="D56" s="2" t="s">
        <v>25</v>
      </c>
      <c r="E56" s="2" t="s">
        <v>45</v>
      </c>
      <c r="F56" s="2">
        <v>40</v>
      </c>
      <c r="G56" s="2">
        <v>10733213</v>
      </c>
      <c r="H56" s="2" t="s">
        <v>133</v>
      </c>
      <c r="I56" s="2" t="s">
        <v>20</v>
      </c>
    </row>
    <row r="57" spans="1:9" x14ac:dyDescent="0.25">
      <c r="A57" s="2">
        <v>56</v>
      </c>
      <c r="B57" s="2" t="s">
        <v>88</v>
      </c>
      <c r="C57" s="2" t="s">
        <v>50</v>
      </c>
      <c r="D57" s="2" t="s">
        <v>18</v>
      </c>
      <c r="E57" s="2" t="s">
        <v>14</v>
      </c>
      <c r="F57" s="2">
        <v>54</v>
      </c>
      <c r="G57" s="2">
        <v>8672272</v>
      </c>
      <c r="H57" s="2" t="s">
        <v>134</v>
      </c>
      <c r="I57" s="2" t="s">
        <v>20</v>
      </c>
    </row>
    <row r="58" spans="1:9" x14ac:dyDescent="0.25">
      <c r="A58" s="2">
        <v>57</v>
      </c>
      <c r="B58" s="2" t="s">
        <v>135</v>
      </c>
      <c r="C58" s="2" t="s">
        <v>28</v>
      </c>
      <c r="D58" s="2" t="s">
        <v>13</v>
      </c>
      <c r="E58" s="2" t="s">
        <v>45</v>
      </c>
      <c r="F58" s="2">
        <v>42</v>
      </c>
      <c r="G58" s="2">
        <v>7561099</v>
      </c>
      <c r="H58" s="2" t="s">
        <v>136</v>
      </c>
      <c r="I58" s="2" t="s">
        <v>20</v>
      </c>
    </row>
    <row r="59" spans="1:9" x14ac:dyDescent="0.25">
      <c r="A59" s="2">
        <v>58</v>
      </c>
      <c r="B59" s="2" t="s">
        <v>137</v>
      </c>
      <c r="C59" s="2" t="s">
        <v>32</v>
      </c>
      <c r="D59" s="2" t="s">
        <v>29</v>
      </c>
      <c r="E59" s="2" t="s">
        <v>14</v>
      </c>
      <c r="F59" s="2">
        <v>24</v>
      </c>
      <c r="G59" s="2">
        <v>8379618</v>
      </c>
      <c r="H59" s="2" t="s">
        <v>138</v>
      </c>
      <c r="I59" s="2" t="s">
        <v>20</v>
      </c>
    </row>
    <row r="60" spans="1:9" x14ac:dyDescent="0.25">
      <c r="A60" s="2">
        <v>59</v>
      </c>
      <c r="B60" s="2" t="s">
        <v>139</v>
      </c>
      <c r="C60" s="2" t="s">
        <v>12</v>
      </c>
      <c r="D60" s="2" t="s">
        <v>25</v>
      </c>
      <c r="E60" s="2" t="s">
        <v>14</v>
      </c>
      <c r="F60" s="2">
        <v>39</v>
      </c>
      <c r="G60" s="2">
        <v>13181260</v>
      </c>
      <c r="H60" s="2" t="s">
        <v>140</v>
      </c>
      <c r="I60" s="2" t="s">
        <v>20</v>
      </c>
    </row>
    <row r="61" spans="1:9" x14ac:dyDescent="0.25">
      <c r="A61" s="2">
        <v>60</v>
      </c>
      <c r="B61" s="2" t="s">
        <v>141</v>
      </c>
      <c r="C61" s="2" t="s">
        <v>28</v>
      </c>
      <c r="D61" s="2" t="s">
        <v>25</v>
      </c>
      <c r="E61" s="2" t="s">
        <v>45</v>
      </c>
      <c r="F61" s="2">
        <v>46</v>
      </c>
      <c r="G61" s="2">
        <v>12283554</v>
      </c>
      <c r="H61" s="2" t="s">
        <v>142</v>
      </c>
      <c r="I61" s="2" t="s">
        <v>20</v>
      </c>
    </row>
    <row r="62" spans="1:9" x14ac:dyDescent="0.25">
      <c r="A62" s="2">
        <v>61</v>
      </c>
      <c r="B62" s="2" t="s">
        <v>143</v>
      </c>
      <c r="C62" s="2" t="s">
        <v>28</v>
      </c>
      <c r="D62" s="2" t="s">
        <v>25</v>
      </c>
      <c r="E62" s="2" t="s">
        <v>14</v>
      </c>
      <c r="F62" s="2">
        <v>37</v>
      </c>
      <c r="G62" s="2">
        <v>6174412</v>
      </c>
      <c r="H62" s="2" t="s">
        <v>144</v>
      </c>
      <c r="I62" s="2" t="s">
        <v>20</v>
      </c>
    </row>
    <row r="63" spans="1:9" x14ac:dyDescent="0.25">
      <c r="A63" s="2">
        <v>62</v>
      </c>
      <c r="B63" s="2" t="s">
        <v>98</v>
      </c>
      <c r="C63" s="2" t="s">
        <v>50</v>
      </c>
      <c r="D63" s="2" t="s">
        <v>13</v>
      </c>
      <c r="E63" s="2" t="s">
        <v>45</v>
      </c>
      <c r="F63" s="2">
        <v>30</v>
      </c>
      <c r="G63" s="2">
        <v>8537574</v>
      </c>
      <c r="H63" s="2" t="s">
        <v>145</v>
      </c>
      <c r="I63" s="2" t="s">
        <v>20</v>
      </c>
    </row>
    <row r="64" spans="1:9" x14ac:dyDescent="0.25">
      <c r="A64" s="2">
        <v>63</v>
      </c>
      <c r="B64" s="2" t="s">
        <v>146</v>
      </c>
      <c r="C64" s="2" t="s">
        <v>24</v>
      </c>
      <c r="D64" s="2" t="s">
        <v>25</v>
      </c>
      <c r="E64" s="2" t="s">
        <v>14</v>
      </c>
      <c r="F64" s="2">
        <v>48</v>
      </c>
      <c r="G64" s="2">
        <v>12086574</v>
      </c>
      <c r="H64" s="2" t="s">
        <v>147</v>
      </c>
      <c r="I64" s="2" t="s">
        <v>16</v>
      </c>
    </row>
    <row r="65" spans="1:9" x14ac:dyDescent="0.25">
      <c r="A65" s="2">
        <v>64</v>
      </c>
      <c r="B65" s="2" t="s">
        <v>148</v>
      </c>
      <c r="C65" s="2" t="s">
        <v>50</v>
      </c>
      <c r="D65" s="2" t="s">
        <v>13</v>
      </c>
      <c r="E65" s="2" t="s">
        <v>45</v>
      </c>
      <c r="F65" s="2">
        <v>32</v>
      </c>
      <c r="G65" s="2">
        <v>5738506</v>
      </c>
      <c r="H65" s="2" t="s">
        <v>149</v>
      </c>
      <c r="I65" s="2" t="s">
        <v>20</v>
      </c>
    </row>
    <row r="66" spans="1:9" x14ac:dyDescent="0.25">
      <c r="A66" s="2">
        <v>65</v>
      </c>
      <c r="B66" s="2" t="s">
        <v>150</v>
      </c>
      <c r="C66" s="2" t="s">
        <v>28</v>
      </c>
      <c r="D66" s="2" t="s">
        <v>25</v>
      </c>
      <c r="E66" s="2" t="s">
        <v>14</v>
      </c>
      <c r="F66" s="2">
        <v>25</v>
      </c>
      <c r="G66" s="2">
        <v>9559331</v>
      </c>
      <c r="H66" s="2" t="s">
        <v>151</v>
      </c>
      <c r="I66" s="2" t="s">
        <v>20</v>
      </c>
    </row>
    <row r="67" spans="1:9" x14ac:dyDescent="0.25">
      <c r="A67" s="2">
        <v>66</v>
      </c>
      <c r="B67" s="2" t="s">
        <v>152</v>
      </c>
      <c r="C67" s="2" t="s">
        <v>24</v>
      </c>
      <c r="D67" s="2" t="s">
        <v>25</v>
      </c>
      <c r="E67" s="2" t="s">
        <v>14</v>
      </c>
      <c r="F67" s="2">
        <v>52</v>
      </c>
      <c r="G67" s="2">
        <v>9178757</v>
      </c>
      <c r="H67" s="2" t="s">
        <v>153</v>
      </c>
      <c r="I67" s="2" t="s">
        <v>20</v>
      </c>
    </row>
    <row r="68" spans="1:9" x14ac:dyDescent="0.25">
      <c r="A68" s="2">
        <v>67</v>
      </c>
      <c r="B68" s="2" t="s">
        <v>154</v>
      </c>
      <c r="C68" s="2" t="s">
        <v>12</v>
      </c>
      <c r="D68" s="2" t="s">
        <v>18</v>
      </c>
      <c r="E68" s="2" t="s">
        <v>14</v>
      </c>
      <c r="F68" s="2">
        <v>40</v>
      </c>
      <c r="G68" s="2">
        <v>7762754</v>
      </c>
      <c r="H68" s="2" t="s">
        <v>155</v>
      </c>
      <c r="I68" s="2" t="s">
        <v>20</v>
      </c>
    </row>
    <row r="69" spans="1:9" x14ac:dyDescent="0.25">
      <c r="A69" s="2">
        <v>68</v>
      </c>
      <c r="B69" s="2" t="s">
        <v>62</v>
      </c>
      <c r="C69" s="2" t="s">
        <v>32</v>
      </c>
      <c r="D69" s="2" t="s">
        <v>29</v>
      </c>
      <c r="E69" s="2" t="s">
        <v>45</v>
      </c>
      <c r="F69" s="2">
        <v>41</v>
      </c>
      <c r="G69" s="2">
        <v>6751359</v>
      </c>
      <c r="H69" s="2" t="s">
        <v>103</v>
      </c>
      <c r="I69" s="2" t="s">
        <v>20</v>
      </c>
    </row>
    <row r="70" spans="1:9" x14ac:dyDescent="0.25">
      <c r="A70" s="2">
        <v>69</v>
      </c>
      <c r="B70" s="2" t="s">
        <v>38</v>
      </c>
      <c r="C70" s="2" t="s">
        <v>32</v>
      </c>
      <c r="D70" s="2" t="s">
        <v>18</v>
      </c>
      <c r="E70" s="2" t="s">
        <v>14</v>
      </c>
      <c r="F70" s="2">
        <v>49</v>
      </c>
      <c r="G70" s="2">
        <v>7279672</v>
      </c>
      <c r="H70" s="2" t="s">
        <v>156</v>
      </c>
      <c r="I70" s="2" t="s">
        <v>20</v>
      </c>
    </row>
    <row r="71" spans="1:9" x14ac:dyDescent="0.25">
      <c r="A71" s="2">
        <v>70</v>
      </c>
      <c r="B71" s="2" t="s">
        <v>157</v>
      </c>
      <c r="C71" s="2" t="s">
        <v>32</v>
      </c>
      <c r="D71" s="2" t="s">
        <v>29</v>
      </c>
      <c r="E71" s="2" t="s">
        <v>45</v>
      </c>
      <c r="F71" s="2">
        <v>35</v>
      </c>
      <c r="G71" s="2">
        <v>6146527</v>
      </c>
      <c r="H71" s="2" t="s">
        <v>113</v>
      </c>
      <c r="I71" s="2" t="s">
        <v>16</v>
      </c>
    </row>
    <row r="72" spans="1:9" x14ac:dyDescent="0.25">
      <c r="A72" s="2">
        <v>71</v>
      </c>
      <c r="B72" s="2" t="s">
        <v>158</v>
      </c>
      <c r="C72" s="2" t="s">
        <v>32</v>
      </c>
      <c r="D72" s="2" t="s">
        <v>13</v>
      </c>
      <c r="E72" s="2" t="s">
        <v>14</v>
      </c>
      <c r="F72" s="2">
        <v>33</v>
      </c>
      <c r="G72" s="2">
        <v>4351307</v>
      </c>
      <c r="H72" s="2" t="s">
        <v>159</v>
      </c>
      <c r="I72" s="2" t="s">
        <v>20</v>
      </c>
    </row>
    <row r="73" spans="1:9" x14ac:dyDescent="0.25">
      <c r="A73" s="2">
        <v>72</v>
      </c>
      <c r="B73" s="2" t="s">
        <v>160</v>
      </c>
      <c r="C73" s="2" t="s">
        <v>32</v>
      </c>
      <c r="D73" s="2" t="s">
        <v>18</v>
      </c>
      <c r="E73" s="2" t="s">
        <v>45</v>
      </c>
      <c r="F73" s="2">
        <v>35</v>
      </c>
      <c r="G73" s="2">
        <v>6052341</v>
      </c>
      <c r="H73" s="2" t="s">
        <v>161</v>
      </c>
      <c r="I73" s="2" t="s">
        <v>16</v>
      </c>
    </row>
    <row r="74" spans="1:9" x14ac:dyDescent="0.25">
      <c r="A74" s="2">
        <v>73</v>
      </c>
      <c r="B74" s="2" t="s">
        <v>141</v>
      </c>
      <c r="C74" s="2" t="s">
        <v>12</v>
      </c>
      <c r="D74" s="2" t="s">
        <v>13</v>
      </c>
      <c r="E74" s="2" t="s">
        <v>45</v>
      </c>
      <c r="F74" s="2">
        <v>39</v>
      </c>
      <c r="G74" s="2">
        <v>8432892</v>
      </c>
      <c r="H74" s="2" t="s">
        <v>162</v>
      </c>
      <c r="I74" s="2" t="s">
        <v>20</v>
      </c>
    </row>
    <row r="75" spans="1:9" x14ac:dyDescent="0.25">
      <c r="A75" s="2">
        <v>74</v>
      </c>
      <c r="B75" s="2" t="s">
        <v>163</v>
      </c>
      <c r="C75" s="2" t="s">
        <v>32</v>
      </c>
      <c r="D75" s="2" t="s">
        <v>29</v>
      </c>
      <c r="E75" s="2" t="s">
        <v>14</v>
      </c>
      <c r="F75" s="2">
        <v>44</v>
      </c>
      <c r="G75" s="2">
        <v>10702549</v>
      </c>
      <c r="H75" s="2" t="s">
        <v>164</v>
      </c>
      <c r="I75" s="2" t="s">
        <v>20</v>
      </c>
    </row>
    <row r="76" spans="1:9" x14ac:dyDescent="0.25">
      <c r="A76" s="2">
        <v>75</v>
      </c>
      <c r="B76" s="2" t="s">
        <v>76</v>
      </c>
      <c r="C76" s="2" t="s">
        <v>32</v>
      </c>
      <c r="D76" s="2" t="s">
        <v>29</v>
      </c>
      <c r="E76" s="2" t="s">
        <v>14</v>
      </c>
      <c r="F76" s="2">
        <v>48</v>
      </c>
      <c r="G76" s="2">
        <v>6833925</v>
      </c>
      <c r="H76" s="2" t="s">
        <v>165</v>
      </c>
      <c r="I76" s="2" t="s">
        <v>20</v>
      </c>
    </row>
    <row r="77" spans="1:9" x14ac:dyDescent="0.25">
      <c r="A77" s="2">
        <v>76</v>
      </c>
      <c r="B77" s="2" t="s">
        <v>166</v>
      </c>
      <c r="C77" s="2" t="s">
        <v>28</v>
      </c>
      <c r="D77" s="2" t="s">
        <v>18</v>
      </c>
      <c r="E77" s="2" t="s">
        <v>45</v>
      </c>
      <c r="F77" s="2">
        <v>37</v>
      </c>
      <c r="G77" s="2">
        <v>12978606</v>
      </c>
      <c r="H77" s="2" t="s">
        <v>167</v>
      </c>
      <c r="I77" s="2" t="s">
        <v>20</v>
      </c>
    </row>
    <row r="78" spans="1:9" x14ac:dyDescent="0.25">
      <c r="A78" s="2">
        <v>77</v>
      </c>
      <c r="B78" s="2" t="s">
        <v>168</v>
      </c>
      <c r="C78" s="2" t="s">
        <v>32</v>
      </c>
      <c r="D78" s="2" t="s">
        <v>13</v>
      </c>
      <c r="E78" s="2" t="s">
        <v>14</v>
      </c>
      <c r="F78" s="2">
        <v>41</v>
      </c>
      <c r="G78" s="2">
        <v>10542167</v>
      </c>
      <c r="H78" s="2" t="s">
        <v>169</v>
      </c>
      <c r="I78" s="2" t="s">
        <v>20</v>
      </c>
    </row>
    <row r="79" spans="1:9" x14ac:dyDescent="0.25">
      <c r="A79" s="2">
        <v>78</v>
      </c>
      <c r="B79" s="2" t="s">
        <v>94</v>
      </c>
      <c r="C79" s="2" t="s">
        <v>28</v>
      </c>
      <c r="D79" s="2" t="s">
        <v>18</v>
      </c>
      <c r="E79" s="2" t="s">
        <v>14</v>
      </c>
      <c r="F79" s="2">
        <v>39</v>
      </c>
      <c r="G79" s="2">
        <v>12341470</v>
      </c>
      <c r="H79" s="2" t="s">
        <v>170</v>
      </c>
      <c r="I79" s="2" t="s">
        <v>20</v>
      </c>
    </row>
    <row r="80" spans="1:9" x14ac:dyDescent="0.25">
      <c r="A80" s="2">
        <v>79</v>
      </c>
      <c r="B80" s="2" t="s">
        <v>171</v>
      </c>
      <c r="C80" s="2" t="s">
        <v>50</v>
      </c>
      <c r="D80" s="2" t="s">
        <v>18</v>
      </c>
      <c r="E80" s="2" t="s">
        <v>45</v>
      </c>
      <c r="F80" s="2">
        <v>42</v>
      </c>
      <c r="G80" s="2">
        <v>11639595</v>
      </c>
      <c r="H80" s="2" t="s">
        <v>172</v>
      </c>
      <c r="I80" s="2" t="s">
        <v>20</v>
      </c>
    </row>
    <row r="81" spans="1:9" x14ac:dyDescent="0.25">
      <c r="A81" s="2">
        <v>80</v>
      </c>
      <c r="B81" s="2" t="s">
        <v>173</v>
      </c>
      <c r="C81" s="2" t="s">
        <v>24</v>
      </c>
      <c r="D81" s="2" t="s">
        <v>18</v>
      </c>
      <c r="E81" s="2" t="s">
        <v>45</v>
      </c>
      <c r="F81" s="2">
        <v>30</v>
      </c>
      <c r="G81" s="2">
        <v>11127130</v>
      </c>
      <c r="H81" s="2" t="s">
        <v>174</v>
      </c>
      <c r="I81" s="2" t="s">
        <v>16</v>
      </c>
    </row>
    <row r="82" spans="1:9" x14ac:dyDescent="0.25">
      <c r="A82" s="2">
        <v>81</v>
      </c>
      <c r="B82" s="2" t="s">
        <v>175</v>
      </c>
      <c r="C82" s="2" t="s">
        <v>50</v>
      </c>
      <c r="D82" s="2" t="s">
        <v>29</v>
      </c>
      <c r="E82" s="2" t="s">
        <v>14</v>
      </c>
      <c r="F82" s="2">
        <v>48</v>
      </c>
      <c r="G82" s="2">
        <v>4078947</v>
      </c>
      <c r="H82" s="2" t="s">
        <v>176</v>
      </c>
      <c r="I82" s="2" t="s">
        <v>20</v>
      </c>
    </row>
    <row r="83" spans="1:9" x14ac:dyDescent="0.25">
      <c r="A83" s="2">
        <v>82</v>
      </c>
      <c r="B83" s="2" t="s">
        <v>177</v>
      </c>
      <c r="C83" s="2" t="s">
        <v>32</v>
      </c>
      <c r="D83" s="2" t="s">
        <v>18</v>
      </c>
      <c r="E83" s="2" t="s">
        <v>45</v>
      </c>
      <c r="F83" s="2">
        <v>48</v>
      </c>
      <c r="G83" s="2">
        <v>10635566</v>
      </c>
      <c r="H83" s="2" t="s">
        <v>178</v>
      </c>
      <c r="I83" s="2" t="s">
        <v>20</v>
      </c>
    </row>
    <row r="84" spans="1:9" x14ac:dyDescent="0.25">
      <c r="A84" s="2">
        <v>83</v>
      </c>
      <c r="B84" s="2" t="s">
        <v>179</v>
      </c>
      <c r="C84" s="2" t="s">
        <v>32</v>
      </c>
      <c r="D84" s="2" t="s">
        <v>18</v>
      </c>
      <c r="E84" s="2" t="s">
        <v>45</v>
      </c>
      <c r="F84" s="2">
        <v>42</v>
      </c>
      <c r="G84" s="2">
        <v>11532346</v>
      </c>
      <c r="H84" s="2" t="s">
        <v>180</v>
      </c>
      <c r="I84" s="2" t="s">
        <v>16</v>
      </c>
    </row>
    <row r="85" spans="1:9" x14ac:dyDescent="0.25">
      <c r="A85" s="2">
        <v>84</v>
      </c>
      <c r="B85" s="2" t="s">
        <v>56</v>
      </c>
      <c r="C85" s="2" t="s">
        <v>12</v>
      </c>
      <c r="D85" s="2" t="s">
        <v>29</v>
      </c>
      <c r="E85" s="2" t="s">
        <v>45</v>
      </c>
      <c r="F85" s="2">
        <v>40</v>
      </c>
      <c r="G85" s="2">
        <v>10739544</v>
      </c>
      <c r="H85" s="2" t="s">
        <v>181</v>
      </c>
      <c r="I85" s="2" t="s">
        <v>16</v>
      </c>
    </row>
    <row r="86" spans="1:9" x14ac:dyDescent="0.25">
      <c r="A86" s="2">
        <v>85</v>
      </c>
      <c r="B86" s="2" t="s">
        <v>182</v>
      </c>
      <c r="C86" s="2" t="s">
        <v>28</v>
      </c>
      <c r="D86" s="2" t="s">
        <v>29</v>
      </c>
      <c r="E86" s="2" t="s">
        <v>14</v>
      </c>
      <c r="F86" s="2">
        <v>32</v>
      </c>
      <c r="G86" s="2">
        <v>11746783</v>
      </c>
      <c r="H86" s="2" t="s">
        <v>183</v>
      </c>
      <c r="I86" s="2" t="s">
        <v>16</v>
      </c>
    </row>
    <row r="87" spans="1:9" x14ac:dyDescent="0.25">
      <c r="A87" s="2">
        <v>86</v>
      </c>
      <c r="B87" s="2" t="s">
        <v>184</v>
      </c>
      <c r="C87" s="2" t="s">
        <v>28</v>
      </c>
      <c r="D87" s="2" t="s">
        <v>13</v>
      </c>
      <c r="E87" s="2" t="s">
        <v>45</v>
      </c>
      <c r="F87" s="2">
        <v>26</v>
      </c>
      <c r="G87" s="2">
        <v>4848882</v>
      </c>
      <c r="H87" s="2" t="s">
        <v>142</v>
      </c>
      <c r="I87" s="2" t="s">
        <v>20</v>
      </c>
    </row>
    <row r="88" spans="1:9" x14ac:dyDescent="0.25">
      <c r="A88" s="2">
        <v>87</v>
      </c>
      <c r="B88" s="2" t="s">
        <v>185</v>
      </c>
      <c r="C88" s="2" t="s">
        <v>32</v>
      </c>
      <c r="D88" s="2" t="s">
        <v>29</v>
      </c>
      <c r="E88" s="2" t="s">
        <v>45</v>
      </c>
      <c r="F88" s="2">
        <v>27</v>
      </c>
      <c r="G88" s="2">
        <v>9810536</v>
      </c>
      <c r="H88" s="2" t="s">
        <v>186</v>
      </c>
      <c r="I88" s="2" t="s">
        <v>20</v>
      </c>
    </row>
    <row r="89" spans="1:9" x14ac:dyDescent="0.25">
      <c r="A89" s="2">
        <v>88</v>
      </c>
      <c r="B89" s="2" t="s">
        <v>187</v>
      </c>
      <c r="C89" s="2" t="s">
        <v>24</v>
      </c>
      <c r="D89" s="2" t="s">
        <v>29</v>
      </c>
      <c r="E89" s="2" t="s">
        <v>14</v>
      </c>
      <c r="F89" s="2">
        <v>23</v>
      </c>
      <c r="G89" s="2">
        <v>9932636</v>
      </c>
      <c r="H89" s="2" t="s">
        <v>188</v>
      </c>
      <c r="I89" s="2" t="s">
        <v>20</v>
      </c>
    </row>
    <row r="90" spans="1:9" x14ac:dyDescent="0.25">
      <c r="A90" s="2">
        <v>89</v>
      </c>
      <c r="B90" s="2" t="s">
        <v>189</v>
      </c>
      <c r="C90" s="2" t="s">
        <v>12</v>
      </c>
      <c r="D90" s="2" t="s">
        <v>13</v>
      </c>
      <c r="E90" s="2" t="s">
        <v>14</v>
      </c>
      <c r="F90" s="2">
        <v>41</v>
      </c>
      <c r="G90" s="2">
        <v>11731951</v>
      </c>
      <c r="H90" s="2" t="s">
        <v>190</v>
      </c>
      <c r="I90" s="2" t="s">
        <v>20</v>
      </c>
    </row>
    <row r="91" spans="1:9" x14ac:dyDescent="0.25">
      <c r="A91" s="2">
        <v>90</v>
      </c>
      <c r="B91" s="2" t="s">
        <v>191</v>
      </c>
      <c r="C91" s="2" t="s">
        <v>12</v>
      </c>
      <c r="D91" s="2" t="s">
        <v>18</v>
      </c>
      <c r="E91" s="2" t="s">
        <v>45</v>
      </c>
      <c r="F91" s="2">
        <v>34</v>
      </c>
      <c r="G91" s="2">
        <v>6920877</v>
      </c>
      <c r="H91" s="2" t="s">
        <v>192</v>
      </c>
      <c r="I91" s="2" t="s">
        <v>20</v>
      </c>
    </row>
    <row r="92" spans="1:9" x14ac:dyDescent="0.25">
      <c r="A92" s="2">
        <v>91</v>
      </c>
      <c r="B92" s="2" t="s">
        <v>193</v>
      </c>
      <c r="C92" s="2" t="s">
        <v>12</v>
      </c>
      <c r="D92" s="2" t="s">
        <v>18</v>
      </c>
      <c r="E92" s="2" t="s">
        <v>14</v>
      </c>
      <c r="F92" s="2">
        <v>26</v>
      </c>
      <c r="G92" s="2">
        <v>6518538</v>
      </c>
      <c r="H92" s="2" t="s">
        <v>194</v>
      </c>
      <c r="I92" s="2" t="s">
        <v>16</v>
      </c>
    </row>
    <row r="93" spans="1:9" x14ac:dyDescent="0.25">
      <c r="A93" s="2">
        <v>92</v>
      </c>
      <c r="B93" s="2" t="s">
        <v>23</v>
      </c>
      <c r="C93" s="2" t="s">
        <v>24</v>
      </c>
      <c r="D93" s="2" t="s">
        <v>29</v>
      </c>
      <c r="E93" s="2" t="s">
        <v>45</v>
      </c>
      <c r="F93" s="2">
        <v>39</v>
      </c>
      <c r="G93" s="2">
        <v>9920078</v>
      </c>
      <c r="H93" s="2" t="s">
        <v>195</v>
      </c>
      <c r="I93" s="2" t="s">
        <v>20</v>
      </c>
    </row>
    <row r="94" spans="1:9" x14ac:dyDescent="0.25">
      <c r="A94" s="2">
        <v>93</v>
      </c>
      <c r="B94" s="2" t="s">
        <v>179</v>
      </c>
      <c r="C94" s="2" t="s">
        <v>24</v>
      </c>
      <c r="D94" s="2" t="s">
        <v>29</v>
      </c>
      <c r="E94" s="2" t="s">
        <v>14</v>
      </c>
      <c r="F94" s="2">
        <v>43</v>
      </c>
      <c r="G94" s="2">
        <v>14674315</v>
      </c>
      <c r="H94" s="2" t="s">
        <v>196</v>
      </c>
      <c r="I94" s="2" t="s">
        <v>20</v>
      </c>
    </row>
    <row r="95" spans="1:9" x14ac:dyDescent="0.25">
      <c r="A95" s="2">
        <v>94</v>
      </c>
      <c r="B95" s="2" t="s">
        <v>118</v>
      </c>
      <c r="C95" s="2" t="s">
        <v>32</v>
      </c>
      <c r="D95" s="2" t="s">
        <v>13</v>
      </c>
      <c r="E95" s="2" t="s">
        <v>45</v>
      </c>
      <c r="F95" s="2">
        <v>24</v>
      </c>
      <c r="G95" s="2">
        <v>7250507</v>
      </c>
      <c r="H95" s="2" t="s">
        <v>197</v>
      </c>
      <c r="I95" s="2" t="s">
        <v>20</v>
      </c>
    </row>
    <row r="96" spans="1:9" x14ac:dyDescent="0.25">
      <c r="A96" s="2">
        <v>95</v>
      </c>
      <c r="B96" s="2" t="s">
        <v>23</v>
      </c>
      <c r="C96" s="2" t="s">
        <v>24</v>
      </c>
      <c r="D96" s="2" t="s">
        <v>29</v>
      </c>
      <c r="E96" s="2" t="s">
        <v>14</v>
      </c>
      <c r="F96" s="2">
        <v>50</v>
      </c>
      <c r="G96" s="2">
        <v>4746561</v>
      </c>
      <c r="H96" s="2" t="s">
        <v>198</v>
      </c>
      <c r="I96" s="2" t="s">
        <v>20</v>
      </c>
    </row>
    <row r="97" spans="1:9" x14ac:dyDescent="0.25">
      <c r="A97" s="2">
        <v>96</v>
      </c>
      <c r="B97" s="2" t="s">
        <v>199</v>
      </c>
      <c r="C97" s="2" t="s">
        <v>50</v>
      </c>
      <c r="D97" s="2" t="s">
        <v>25</v>
      </c>
      <c r="E97" s="2" t="s">
        <v>14</v>
      </c>
      <c r="F97" s="2">
        <v>25</v>
      </c>
      <c r="G97" s="2">
        <v>12533610</v>
      </c>
      <c r="H97" s="2" t="s">
        <v>200</v>
      </c>
      <c r="I97" s="2" t="s">
        <v>20</v>
      </c>
    </row>
    <row r="98" spans="1:9" x14ac:dyDescent="0.25">
      <c r="A98" s="2">
        <v>97</v>
      </c>
      <c r="B98" s="2" t="s">
        <v>201</v>
      </c>
      <c r="C98" s="2" t="s">
        <v>32</v>
      </c>
      <c r="D98" s="2" t="s">
        <v>29</v>
      </c>
      <c r="E98" s="2" t="s">
        <v>14</v>
      </c>
      <c r="F98" s="2">
        <v>53</v>
      </c>
      <c r="G98" s="2">
        <v>5152750</v>
      </c>
      <c r="H98" s="2" t="s">
        <v>202</v>
      </c>
      <c r="I98" s="2" t="s">
        <v>16</v>
      </c>
    </row>
    <row r="99" spans="1:9" x14ac:dyDescent="0.25">
      <c r="A99" s="2">
        <v>98</v>
      </c>
      <c r="B99" s="2" t="s">
        <v>203</v>
      </c>
      <c r="C99" s="2" t="s">
        <v>12</v>
      </c>
      <c r="D99" s="2" t="s">
        <v>25</v>
      </c>
      <c r="E99" s="2" t="s">
        <v>14</v>
      </c>
      <c r="F99" s="2">
        <v>46</v>
      </c>
      <c r="G99" s="2">
        <v>6386265</v>
      </c>
      <c r="H99" s="2" t="s">
        <v>204</v>
      </c>
      <c r="I99" s="2" t="s">
        <v>20</v>
      </c>
    </row>
    <row r="100" spans="1:9" x14ac:dyDescent="0.25">
      <c r="A100" s="2">
        <v>99</v>
      </c>
      <c r="B100" s="2" t="s">
        <v>205</v>
      </c>
      <c r="C100" s="2" t="s">
        <v>32</v>
      </c>
      <c r="D100" s="2" t="s">
        <v>25</v>
      </c>
      <c r="E100" s="2" t="s">
        <v>45</v>
      </c>
      <c r="F100" s="2">
        <v>47</v>
      </c>
      <c r="G100" s="2">
        <v>4188395</v>
      </c>
      <c r="H100" s="2" t="s">
        <v>206</v>
      </c>
      <c r="I100" s="2" t="s">
        <v>20</v>
      </c>
    </row>
    <row r="101" spans="1:9" x14ac:dyDescent="0.25">
      <c r="A101" s="2">
        <v>100</v>
      </c>
      <c r="B101" s="2" t="s">
        <v>207</v>
      </c>
      <c r="C101" s="2" t="s">
        <v>32</v>
      </c>
      <c r="D101" s="2" t="s">
        <v>29</v>
      </c>
      <c r="E101" s="2" t="s">
        <v>14</v>
      </c>
      <c r="F101" s="2">
        <v>52</v>
      </c>
      <c r="G101" s="2">
        <v>14050314</v>
      </c>
      <c r="H101" s="2" t="s">
        <v>208</v>
      </c>
      <c r="I10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 Dashboard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Myoffice16480</dc:creator>
  <cp:lastModifiedBy>Myoffice16480</cp:lastModifiedBy>
  <dcterms:created xsi:type="dcterms:W3CDTF">2026-04-07T09:07:02Z</dcterms:created>
  <dcterms:modified xsi:type="dcterms:W3CDTF">2026-05-26T09:49:33Z</dcterms:modified>
</cp:coreProperties>
</file>